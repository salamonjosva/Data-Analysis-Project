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ata analitic class\pandas library\data analits projects\"/>
    </mc:Choice>
  </mc:AlternateContent>
  <xr:revisionPtr revIDLastSave="0" documentId="13_ncr:1_{D8CCD614-4606-437D-A30B-A609B309FBE2}" xr6:coauthVersionLast="47" xr6:coauthVersionMax="47" xr10:uidLastSave="{00000000-0000-0000-0000-000000000000}"/>
  <bookViews>
    <workbookView xWindow="-120" yWindow="-120" windowWidth="20730" windowHeight="11040" activeTab="2" xr2:uid="{F3A629AF-706A-42EC-9C84-445791485BE3}"/>
  </bookViews>
  <sheets>
    <sheet name="Sheet2" sheetId="3" r:id="rId1"/>
    <sheet name="Ridezone_Raw_Data" sheetId="2" r:id="rId2"/>
    <sheet name="Sheet1" sheetId="1" r:id="rId3"/>
  </sheets>
  <definedNames>
    <definedName name="ExternalData_1" localSheetId="1" hidden="1">'Ridezone_Raw_Data'!$A$1:$T$733</definedName>
    <definedName name="NativeTimeline_Order_Date">#N/A</definedName>
    <definedName name="Slicer_Bike_Model">#N/A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5" i="3" l="1"/>
  <c r="C5" i="3"/>
  <c r="A5" i="3"/>
  <c r="H5" i="3"/>
  <c r="F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9AA18B-CBFE-4EB8-B27E-5333F21C342B}" keepAlive="1" name="Query - Ridezone_Raw_Data" description="Connection to the 'Ridezone_Raw_Data' query in the workbook." type="5" refreshedVersion="8" background="1" saveData="1">
    <dbPr connection="Provider=Microsoft.Mashup.OleDb.1;Data Source=$Workbook$;Location=Ridezone_Raw_Data;Extended Properties=&quot;&quot;" command="SELECT * FROM [Ridezone_Raw_Data]"/>
  </connection>
</connections>
</file>

<file path=xl/sharedStrings.xml><?xml version="1.0" encoding="utf-8"?>
<sst xmlns="http://schemas.openxmlformats.org/spreadsheetml/2006/main" count="9620" uniqueCount="1561">
  <si>
    <t>Showroom_Name</t>
  </si>
  <si>
    <t>Order_ID</t>
  </si>
  <si>
    <t>Order_Date</t>
  </si>
  <si>
    <t>Customer_ID</t>
  </si>
  <si>
    <t>Customer_Name</t>
  </si>
  <si>
    <t>Gender</t>
  </si>
  <si>
    <t>Age</t>
  </si>
  <si>
    <t>City</t>
  </si>
  <si>
    <t>State</t>
  </si>
  <si>
    <t>Bike_Model</t>
  </si>
  <si>
    <t>Bike_Category</t>
  </si>
  <si>
    <t>Quantity</t>
  </si>
  <si>
    <t>Unit_Price</t>
  </si>
  <si>
    <t>Discount_Percent</t>
  </si>
  <si>
    <t>Sales</t>
  </si>
  <si>
    <t>Profit</t>
  </si>
  <si>
    <t>Payment_Mode</t>
  </si>
  <si>
    <t>Order_Status</t>
  </si>
  <si>
    <t>Salesperson</t>
  </si>
  <si>
    <t>Insurance</t>
  </si>
  <si>
    <t>RIDEZONE BIKE SHOWROOM</t>
  </si>
  <si>
    <t>ORD10001</t>
  </si>
  <si>
    <t>CUST2001</t>
  </si>
  <si>
    <t>Karthik Raj</t>
  </si>
  <si>
    <t>Female</t>
  </si>
  <si>
    <t>Coimbatore</t>
  </si>
  <si>
    <t>Tamil Nadu</t>
  </si>
  <si>
    <t>Honda SP 125</t>
  </si>
  <si>
    <t>Commuter</t>
  </si>
  <si>
    <t>0</t>
  </si>
  <si>
    <t>Completed</t>
  </si>
  <si>
    <t>Karthik</t>
  </si>
  <si>
    <t>Yes</t>
  </si>
  <si>
    <t>ORD10002</t>
  </si>
  <si>
    <t>CUST2002</t>
  </si>
  <si>
    <t>Santhosh R</t>
  </si>
  <si>
    <t>Bajaj Pulsar 150</t>
  </si>
  <si>
    <t>Card</t>
  </si>
  <si>
    <t>Returned</t>
  </si>
  <si>
    <t>Priya</t>
  </si>
  <si>
    <t>No</t>
  </si>
  <si>
    <t>ORD10003</t>
  </si>
  <si>
    <t>CUST2003</t>
  </si>
  <si>
    <t>Rahul K</t>
  </si>
  <si>
    <t>Salem</t>
  </si>
  <si>
    <t>TVS Raider 125</t>
  </si>
  <si>
    <t xml:space="preserve"> UPI</t>
  </si>
  <si>
    <t>Suresh</t>
  </si>
  <si>
    <t>ORD10004</t>
  </si>
  <si>
    <t>CUST2004</t>
  </si>
  <si>
    <t>Suresh B</t>
  </si>
  <si>
    <t>Trichy</t>
  </si>
  <si>
    <t>Finance</t>
  </si>
  <si>
    <t>ORD10005</t>
  </si>
  <si>
    <t>CUST2005</t>
  </si>
  <si>
    <t>Male</t>
  </si>
  <si>
    <t>Erode</t>
  </si>
  <si>
    <t>Royal Enfield Hunter 350</t>
  </si>
  <si>
    <t>Premium</t>
  </si>
  <si>
    <t xml:space="preserve">Card </t>
  </si>
  <si>
    <t>Cancelled</t>
  </si>
  <si>
    <t>Rahul</t>
  </si>
  <si>
    <t>ORD10006</t>
  </si>
  <si>
    <t>CUST2006</t>
  </si>
  <si>
    <t>Yamaha FZ-S</t>
  </si>
  <si>
    <t>ORD10007</t>
  </si>
  <si>
    <t>CUST2007</t>
  </si>
  <si>
    <t xml:space="preserve">Salem </t>
  </si>
  <si>
    <t>Sports</t>
  </si>
  <si>
    <t>Arun</t>
  </si>
  <si>
    <t>ORD10008</t>
  </si>
  <si>
    <t>CUST2008</t>
  </si>
  <si>
    <t>Divya M</t>
  </si>
  <si>
    <t>Madurai</t>
  </si>
  <si>
    <t>cash</t>
  </si>
  <si>
    <t>ORD10009</t>
  </si>
  <si>
    <t>CUST2009</t>
  </si>
  <si>
    <t>Royal Enfield Classic 350</t>
  </si>
  <si>
    <t>ORD10010</t>
  </si>
  <si>
    <t>CUST2010</t>
  </si>
  <si>
    <t>Arun Kumar</t>
  </si>
  <si>
    <t>Bajaj Dominar 400</t>
  </si>
  <si>
    <t>UPI</t>
  </si>
  <si>
    <t>ORD10011</t>
  </si>
  <si>
    <t>CUST2011</t>
  </si>
  <si>
    <t>Dindigul</t>
  </si>
  <si>
    <t>upi</t>
  </si>
  <si>
    <t>Divya</t>
  </si>
  <si>
    <t>ORD10012</t>
  </si>
  <si>
    <t>CUST2012</t>
  </si>
  <si>
    <t>ORD10013</t>
  </si>
  <si>
    <t>CUST2013</t>
  </si>
  <si>
    <t>ORD10014</t>
  </si>
  <si>
    <t>CUST2014</t>
  </si>
  <si>
    <t>Vignesh P</t>
  </si>
  <si>
    <t>Tiruppur</t>
  </si>
  <si>
    <t>Pending</t>
  </si>
  <si>
    <t>ORD10015</t>
  </si>
  <si>
    <t>CUST2015</t>
  </si>
  <si>
    <t>ORD10016</t>
  </si>
  <si>
    <t>CUST2016</t>
  </si>
  <si>
    <t>Cruiser</t>
  </si>
  <si>
    <t>ORD10017</t>
  </si>
  <si>
    <t>CUST2017</t>
  </si>
  <si>
    <t>Yamaha MT-15</t>
  </si>
  <si>
    <t>Cash</t>
  </si>
  <si>
    <t>ORD10018</t>
  </si>
  <si>
    <t>CUST2018</t>
  </si>
  <si>
    <t>Chennai</t>
  </si>
  <si>
    <t>ORD10019</t>
  </si>
  <si>
    <t>CUST2019</t>
  </si>
  <si>
    <t>TVS Apache RTR 160</t>
  </si>
  <si>
    <t>ORD10020</t>
  </si>
  <si>
    <t>CUST2020</t>
  </si>
  <si>
    <t>ORD10021</t>
  </si>
  <si>
    <t>CUST2021</t>
  </si>
  <si>
    <t>ORD10022</t>
  </si>
  <si>
    <t>CUST2022</t>
  </si>
  <si>
    <t>Honda Shine 125</t>
  </si>
  <si>
    <t>ORD10023</t>
  </si>
  <si>
    <t>CUST2023</t>
  </si>
  <si>
    <t>Yamaha FZ-s</t>
  </si>
  <si>
    <t>ORD10024</t>
  </si>
  <si>
    <t>CUST2024</t>
  </si>
  <si>
    <t>ORD10025</t>
  </si>
  <si>
    <t>CUST2025</t>
  </si>
  <si>
    <t xml:space="preserve"> completed </t>
  </si>
  <si>
    <t>ORD10026</t>
  </si>
  <si>
    <t>CUST2026</t>
  </si>
  <si>
    <t>Priya S</t>
  </si>
  <si>
    <t>ORD10027</t>
  </si>
  <si>
    <t>CUST2027</t>
  </si>
  <si>
    <t>ORD10028</t>
  </si>
  <si>
    <t>CUST2028</t>
  </si>
  <si>
    <t xml:space="preserve"> Priya S </t>
  </si>
  <si>
    <t>ORD10029</t>
  </si>
  <si>
    <t>CUST2029</t>
  </si>
  <si>
    <t xml:space="preserve"> Santhosh R </t>
  </si>
  <si>
    <t>ORD10030</t>
  </si>
  <si>
    <t>CUST2030</t>
  </si>
  <si>
    <t>ORD10031</t>
  </si>
  <si>
    <t>CUST2031</t>
  </si>
  <si>
    <t>ORD10032</t>
  </si>
  <si>
    <t>CUST2032</t>
  </si>
  <si>
    <t>ORD10033</t>
  </si>
  <si>
    <t>CUST2033</t>
  </si>
  <si>
    <t>ORD10034</t>
  </si>
  <si>
    <t>CUST2034</t>
  </si>
  <si>
    <t>ORD10035</t>
  </si>
  <si>
    <t>CUST2035</t>
  </si>
  <si>
    <t>ORD10036</t>
  </si>
  <si>
    <t>CUST2036</t>
  </si>
  <si>
    <t>ORD10037</t>
  </si>
  <si>
    <t>CUST2037</t>
  </si>
  <si>
    <t>ORD10038</t>
  </si>
  <si>
    <t>CUST2038</t>
  </si>
  <si>
    <t>ORD10039</t>
  </si>
  <si>
    <t>CUST2039</t>
  </si>
  <si>
    <t xml:space="preserve">Royal Enfield Classic 350 </t>
  </si>
  <si>
    <t>ORD10040</t>
  </si>
  <si>
    <t>CUST2040</t>
  </si>
  <si>
    <t>ORD10041</t>
  </si>
  <si>
    <t>CUST2041</t>
  </si>
  <si>
    <t>ORD10042</t>
  </si>
  <si>
    <t>CUST2042</t>
  </si>
  <si>
    <t>ORD10043</t>
  </si>
  <si>
    <t>CUST2043</t>
  </si>
  <si>
    <t>ORD10044</t>
  </si>
  <si>
    <t>CUST2044</t>
  </si>
  <si>
    <t>ORD10045</t>
  </si>
  <si>
    <t>CUST2045</t>
  </si>
  <si>
    <t>ORD10046</t>
  </si>
  <si>
    <t>CUST2046</t>
  </si>
  <si>
    <t>ORD10047</t>
  </si>
  <si>
    <t>CUST2047</t>
  </si>
  <si>
    <t>ORD10048</t>
  </si>
  <si>
    <t>CUST2048</t>
  </si>
  <si>
    <t>ORD10049</t>
  </si>
  <si>
    <t>CUST2049</t>
  </si>
  <si>
    <t>ORD10050</t>
  </si>
  <si>
    <t>CUST2050</t>
  </si>
  <si>
    <t>ORD10051</t>
  </si>
  <si>
    <t>CUST2051</t>
  </si>
  <si>
    <t>ORD10052</t>
  </si>
  <si>
    <t>CUST2052</t>
  </si>
  <si>
    <t>ORD10053</t>
  </si>
  <si>
    <t>CUST2053</t>
  </si>
  <si>
    <t>ORD10054</t>
  </si>
  <si>
    <t>CUST2054</t>
  </si>
  <si>
    <t>ORD10055</t>
  </si>
  <si>
    <t>CUST2055</t>
  </si>
  <si>
    <t xml:space="preserve">Tiruppur </t>
  </si>
  <si>
    <t>ORD10056</t>
  </si>
  <si>
    <t>CUST2056</t>
  </si>
  <si>
    <t xml:space="preserve">Madurai </t>
  </si>
  <si>
    <t>ORD10057</t>
  </si>
  <si>
    <t>CUST2057</t>
  </si>
  <si>
    <t xml:space="preserve">Chennai </t>
  </si>
  <si>
    <t>ORD10058</t>
  </si>
  <si>
    <t>CUST2058</t>
  </si>
  <si>
    <t>ORD10059</t>
  </si>
  <si>
    <t>CUST2059</t>
  </si>
  <si>
    <t>ORD10060</t>
  </si>
  <si>
    <t>CUST2060</t>
  </si>
  <si>
    <t>ORD10061</t>
  </si>
  <si>
    <t>CUST2061</t>
  </si>
  <si>
    <t>ORD10062</t>
  </si>
  <si>
    <t>CUST2062</t>
  </si>
  <si>
    <t>ORD10063</t>
  </si>
  <si>
    <t>CUST2063</t>
  </si>
  <si>
    <t xml:space="preserve">Coimbatore </t>
  </si>
  <si>
    <t>ORD10064</t>
  </si>
  <si>
    <t>CUST2064</t>
  </si>
  <si>
    <t xml:space="preserve"> TVS Raider 125</t>
  </si>
  <si>
    <t>ORD10065</t>
  </si>
  <si>
    <t>CUST2065</t>
  </si>
  <si>
    <t>ORD10066</t>
  </si>
  <si>
    <t>CUST2066</t>
  </si>
  <si>
    <t>ORD10067</t>
  </si>
  <si>
    <t>CUST2067</t>
  </si>
  <si>
    <t>ORD10068</t>
  </si>
  <si>
    <t>CUST2068</t>
  </si>
  <si>
    <t>ORD10069</t>
  </si>
  <si>
    <t>CUST2069</t>
  </si>
  <si>
    <t>ORD10070</t>
  </si>
  <si>
    <t>CUST2070</t>
  </si>
  <si>
    <t xml:space="preserve">UPI </t>
  </si>
  <si>
    <t>ORD10071</t>
  </si>
  <si>
    <t>CUST2071</t>
  </si>
  <si>
    <t>ORD10072</t>
  </si>
  <si>
    <t>CUST2072</t>
  </si>
  <si>
    <t>ORD10073</t>
  </si>
  <si>
    <t>CUST2073</t>
  </si>
  <si>
    <t>ORD10074</t>
  </si>
  <si>
    <t>CUST2074</t>
  </si>
  <si>
    <t>ORD10075</t>
  </si>
  <si>
    <t>CUST2075</t>
  </si>
  <si>
    <t>Yamaha MT15</t>
  </si>
  <si>
    <t>ORD10076</t>
  </si>
  <si>
    <t>CUST2076</t>
  </si>
  <si>
    <t>ORD10077</t>
  </si>
  <si>
    <t>CUST2077</t>
  </si>
  <si>
    <t>ORD10078</t>
  </si>
  <si>
    <t>CUST2078</t>
  </si>
  <si>
    <t>ORD10079</t>
  </si>
  <si>
    <t>CUST2079</t>
  </si>
  <si>
    <t>ORD10080</t>
  </si>
  <si>
    <t>CUST2080</t>
  </si>
  <si>
    <t>ORD10081</t>
  </si>
  <si>
    <t>CUST2081</t>
  </si>
  <si>
    <t>ORD10082</t>
  </si>
  <si>
    <t>CUST2082</t>
  </si>
  <si>
    <t>ORD10083</t>
  </si>
  <si>
    <t>CUST2083</t>
  </si>
  <si>
    <t>ORD10084</t>
  </si>
  <si>
    <t>CUST2084</t>
  </si>
  <si>
    <t>ORD10085</t>
  </si>
  <si>
    <t>CUST2085</t>
  </si>
  <si>
    <t>ORD10086</t>
  </si>
  <si>
    <t>CUST2086</t>
  </si>
  <si>
    <t>ORD10087</t>
  </si>
  <si>
    <t>CUST2087</t>
  </si>
  <si>
    <t>ORD10088</t>
  </si>
  <si>
    <t>CUST2088</t>
  </si>
  <si>
    <t>ORD10089</t>
  </si>
  <si>
    <t>CUST2089</t>
  </si>
  <si>
    <t>ORD10090</t>
  </si>
  <si>
    <t>CUST2090</t>
  </si>
  <si>
    <t>ORD10091</t>
  </si>
  <si>
    <t>CUST2091</t>
  </si>
  <si>
    <t xml:space="preserve"> Karthik Raj </t>
  </si>
  <si>
    <t>ORD10092</t>
  </si>
  <si>
    <t>CUST2092</t>
  </si>
  <si>
    <t>ORD10093</t>
  </si>
  <si>
    <t>CUST2093</t>
  </si>
  <si>
    <t>ORD10094</t>
  </si>
  <si>
    <t>CUST2094</t>
  </si>
  <si>
    <t>ORD10095</t>
  </si>
  <si>
    <t>CUST2095</t>
  </si>
  <si>
    <t>ORD10096</t>
  </si>
  <si>
    <t>CUST2096</t>
  </si>
  <si>
    <t>ORD10097</t>
  </si>
  <si>
    <t>CUST2097</t>
  </si>
  <si>
    <t>ORD10098</t>
  </si>
  <si>
    <t>CUST2098</t>
  </si>
  <si>
    <t>ORD10099</t>
  </si>
  <si>
    <t>CUST2099</t>
  </si>
  <si>
    <t>ORD10100</t>
  </si>
  <si>
    <t>CUST2100</t>
  </si>
  <si>
    <t>ORD10101</t>
  </si>
  <si>
    <t>CUST2101</t>
  </si>
  <si>
    <t>ORD10102</t>
  </si>
  <si>
    <t>CUST2102</t>
  </si>
  <si>
    <t>ORD10103</t>
  </si>
  <si>
    <t>CUST2103</t>
  </si>
  <si>
    <t>ORD10104</t>
  </si>
  <si>
    <t>CUST2104</t>
  </si>
  <si>
    <t>ORD10105</t>
  </si>
  <si>
    <t>CUST2105</t>
  </si>
  <si>
    <t>ORD10106</t>
  </si>
  <si>
    <t>CUST2106</t>
  </si>
  <si>
    <t>ORD10107</t>
  </si>
  <si>
    <t>CUST2107</t>
  </si>
  <si>
    <t>ORD10108</t>
  </si>
  <si>
    <t>CUST2108</t>
  </si>
  <si>
    <t>ORD10109</t>
  </si>
  <si>
    <t>CUST2109</t>
  </si>
  <si>
    <t>ORD10110</t>
  </si>
  <si>
    <t>CUST2110</t>
  </si>
  <si>
    <t>ORD10111</t>
  </si>
  <si>
    <t>CUST2111</t>
  </si>
  <si>
    <t>ORD10112</t>
  </si>
  <si>
    <t>CUST2112</t>
  </si>
  <si>
    <t>ORD10113</t>
  </si>
  <si>
    <t>CUST2113</t>
  </si>
  <si>
    <t>ORD10114</t>
  </si>
  <si>
    <t>CUST2114</t>
  </si>
  <si>
    <t>ORD10115</t>
  </si>
  <si>
    <t>CUST2115</t>
  </si>
  <si>
    <t>ORD10116</t>
  </si>
  <si>
    <t>CUST2116</t>
  </si>
  <si>
    <t>ORD10117</t>
  </si>
  <si>
    <t>CUST2117</t>
  </si>
  <si>
    <t>ORD10118</t>
  </si>
  <si>
    <t>CUST2118</t>
  </si>
  <si>
    <t>ORD10119</t>
  </si>
  <si>
    <t>CUST2119</t>
  </si>
  <si>
    <t>ORD10120</t>
  </si>
  <si>
    <t>CUST2120</t>
  </si>
  <si>
    <t>ORD10121</t>
  </si>
  <si>
    <t>CUST2121</t>
  </si>
  <si>
    <t>ORD10122</t>
  </si>
  <si>
    <t>CUST2122</t>
  </si>
  <si>
    <t>ORD10123</t>
  </si>
  <si>
    <t>CUST2123</t>
  </si>
  <si>
    <t>ORD10124</t>
  </si>
  <si>
    <t>CUST2124</t>
  </si>
  <si>
    <t>ORD10125</t>
  </si>
  <si>
    <t>CUST2125</t>
  </si>
  <si>
    <t xml:space="preserve">Dindigul </t>
  </si>
  <si>
    <t>ORD10126</t>
  </si>
  <si>
    <t>CUST2126</t>
  </si>
  <si>
    <t>ORD10127</t>
  </si>
  <si>
    <t>CUST2127</t>
  </si>
  <si>
    <t>ORD10128</t>
  </si>
  <si>
    <t>CUST2128</t>
  </si>
  <si>
    <t>ORD10129</t>
  </si>
  <si>
    <t>CUST2129</t>
  </si>
  <si>
    <t>ORD10130</t>
  </si>
  <si>
    <t>CUST2130</t>
  </si>
  <si>
    <t>ORD10131</t>
  </si>
  <si>
    <t>CUST2131</t>
  </si>
  <si>
    <t>ORD10132</t>
  </si>
  <si>
    <t>CUST2132</t>
  </si>
  <si>
    <t>ORD10133</t>
  </si>
  <si>
    <t>CUST2133</t>
  </si>
  <si>
    <t>ORD10134</t>
  </si>
  <si>
    <t>CUST2134</t>
  </si>
  <si>
    <t>ORD10135</t>
  </si>
  <si>
    <t>CUST2135</t>
  </si>
  <si>
    <t>ORD10136</t>
  </si>
  <si>
    <t>CUST2136</t>
  </si>
  <si>
    <t>ORD10137</t>
  </si>
  <si>
    <t>CUST2137</t>
  </si>
  <si>
    <t>ORD10138</t>
  </si>
  <si>
    <t>CUST2138</t>
  </si>
  <si>
    <t>ORD10139</t>
  </si>
  <si>
    <t>CUST2139</t>
  </si>
  <si>
    <t>ORD10140</t>
  </si>
  <si>
    <t>CUST2140</t>
  </si>
  <si>
    <t>ORD10141</t>
  </si>
  <si>
    <t>CUST2141</t>
  </si>
  <si>
    <t>ORD10142</t>
  </si>
  <si>
    <t>CUST2142</t>
  </si>
  <si>
    <t xml:space="preserve"> Vignesh P </t>
  </si>
  <si>
    <t>ORD10143</t>
  </si>
  <si>
    <t>CUST2143</t>
  </si>
  <si>
    <t>ORD10144</t>
  </si>
  <si>
    <t>CUST2144</t>
  </si>
  <si>
    <t xml:space="preserve"> Arun Kumar </t>
  </si>
  <si>
    <t>CASH</t>
  </si>
  <si>
    <t>ORD10145</t>
  </si>
  <si>
    <t>CUST2145</t>
  </si>
  <si>
    <t>ORD10146</t>
  </si>
  <si>
    <t>CUST2146</t>
  </si>
  <si>
    <t>ORD10147</t>
  </si>
  <si>
    <t>CUST2147</t>
  </si>
  <si>
    <t>ORD10148</t>
  </si>
  <si>
    <t>CUST2148</t>
  </si>
  <si>
    <t>ORD10149</t>
  </si>
  <si>
    <t>CUST2149</t>
  </si>
  <si>
    <t>ORD10150</t>
  </si>
  <si>
    <t>CUST2150</t>
  </si>
  <si>
    <t>ORD10151</t>
  </si>
  <si>
    <t>CUST2151</t>
  </si>
  <si>
    <t>ORD10152</t>
  </si>
  <si>
    <t>CUST2152</t>
  </si>
  <si>
    <t>ORD10153</t>
  </si>
  <si>
    <t>CUST2153</t>
  </si>
  <si>
    <t>ORD10154</t>
  </si>
  <si>
    <t>CUST2154</t>
  </si>
  <si>
    <t>ORD10155</t>
  </si>
  <si>
    <t>CUST2155</t>
  </si>
  <si>
    <t>ORD10156</t>
  </si>
  <si>
    <t>CUST2156</t>
  </si>
  <si>
    <t>ORD10157</t>
  </si>
  <si>
    <t>CUST2157</t>
  </si>
  <si>
    <t>ORD10158</t>
  </si>
  <si>
    <t>CUST2158</t>
  </si>
  <si>
    <t>ORD10159</t>
  </si>
  <si>
    <t>CUST2159</t>
  </si>
  <si>
    <t>ORD10160</t>
  </si>
  <si>
    <t>CUST2160</t>
  </si>
  <si>
    <t>ORD10161</t>
  </si>
  <si>
    <t>CUST2161</t>
  </si>
  <si>
    <t>ORD10162</t>
  </si>
  <si>
    <t>CUST2162</t>
  </si>
  <si>
    <t>ORD10163</t>
  </si>
  <si>
    <t>CUST2163</t>
  </si>
  <si>
    <t>ORD10164</t>
  </si>
  <si>
    <t>CUST2164</t>
  </si>
  <si>
    <t>ORD10165</t>
  </si>
  <si>
    <t>CUST2165</t>
  </si>
  <si>
    <t>ORD10166</t>
  </si>
  <si>
    <t>CUST2166</t>
  </si>
  <si>
    <t>ORD10167</t>
  </si>
  <si>
    <t>CUST2167</t>
  </si>
  <si>
    <t>ORD10168</t>
  </si>
  <si>
    <t>CUST2168</t>
  </si>
  <si>
    <t>ORD10169</t>
  </si>
  <si>
    <t>CUST2169</t>
  </si>
  <si>
    <t>ORD10170</t>
  </si>
  <si>
    <t>CUST2170</t>
  </si>
  <si>
    <t>ORD10171</t>
  </si>
  <si>
    <t>CUST2171</t>
  </si>
  <si>
    <t>ORD10172</t>
  </si>
  <si>
    <t>CUST2172</t>
  </si>
  <si>
    <t>ORD10173</t>
  </si>
  <si>
    <t>CUST2173</t>
  </si>
  <si>
    <t>ORD10174</t>
  </si>
  <si>
    <t>CUST2174</t>
  </si>
  <si>
    <t>ORD10175</t>
  </si>
  <si>
    <t>CUST2175</t>
  </si>
  <si>
    <t>ORD10176</t>
  </si>
  <si>
    <t>CUST2176</t>
  </si>
  <si>
    <t>ORD10177</t>
  </si>
  <si>
    <t>CUST2177</t>
  </si>
  <si>
    <t>ORD10178</t>
  </si>
  <si>
    <t>CUST2178</t>
  </si>
  <si>
    <t>ORD10179</t>
  </si>
  <si>
    <t>CUST2179</t>
  </si>
  <si>
    <t xml:space="preserve">Honda Shine 125 </t>
  </si>
  <si>
    <t>ORD10180</t>
  </si>
  <si>
    <t>CUST2180</t>
  </si>
  <si>
    <t>ORD10181</t>
  </si>
  <si>
    <t>CUST2181</t>
  </si>
  <si>
    <t>ORD10182</t>
  </si>
  <si>
    <t>CUST2182</t>
  </si>
  <si>
    <t>ORD10183</t>
  </si>
  <si>
    <t>CUST2183</t>
  </si>
  <si>
    <t>ORD10184</t>
  </si>
  <si>
    <t>CUST2184</t>
  </si>
  <si>
    <t>ORD10185</t>
  </si>
  <si>
    <t>CUST2185</t>
  </si>
  <si>
    <t>ORD10186</t>
  </si>
  <si>
    <t>CUST2186</t>
  </si>
  <si>
    <t>ORD10187</t>
  </si>
  <si>
    <t>CUST2187</t>
  </si>
  <si>
    <t>ORD10188</t>
  </si>
  <si>
    <t>CUST2188</t>
  </si>
  <si>
    <t>ORD10189</t>
  </si>
  <si>
    <t>CUST2189</t>
  </si>
  <si>
    <t>ORD10190</t>
  </si>
  <si>
    <t>CUST2190</t>
  </si>
  <si>
    <t>ORD10191</t>
  </si>
  <si>
    <t>CUST2191</t>
  </si>
  <si>
    <t>ORD10192</t>
  </si>
  <si>
    <t>CUST2192</t>
  </si>
  <si>
    <t>ORD10193</t>
  </si>
  <si>
    <t>CUST2193</t>
  </si>
  <si>
    <t>ORD10194</t>
  </si>
  <si>
    <t>CUST2194</t>
  </si>
  <si>
    <t>ORD10195</t>
  </si>
  <si>
    <t>CUST2195</t>
  </si>
  <si>
    <t>ORD10196</t>
  </si>
  <si>
    <t>CUST2196</t>
  </si>
  <si>
    <t>ORD10197</t>
  </si>
  <si>
    <t>CUST2197</t>
  </si>
  <si>
    <t>ORD10198</t>
  </si>
  <si>
    <t>CUST2198</t>
  </si>
  <si>
    <t>ORD10199</t>
  </si>
  <si>
    <t>CUST2199</t>
  </si>
  <si>
    <t>ORD10200</t>
  </si>
  <si>
    <t>CUST2200</t>
  </si>
  <si>
    <t>ORD10201</t>
  </si>
  <si>
    <t>CUST2201</t>
  </si>
  <si>
    <t>ORD10202</t>
  </si>
  <si>
    <t>CUST2202</t>
  </si>
  <si>
    <t>ORD10203</t>
  </si>
  <si>
    <t>CUST2203</t>
  </si>
  <si>
    <t>ORD10204</t>
  </si>
  <si>
    <t>CUST2204</t>
  </si>
  <si>
    <t>ORD10205</t>
  </si>
  <si>
    <t>CUST2205</t>
  </si>
  <si>
    <t>ORD10206</t>
  </si>
  <si>
    <t>CUST2206</t>
  </si>
  <si>
    <t>ORD10207</t>
  </si>
  <si>
    <t>CUST2207</t>
  </si>
  <si>
    <t>ORD10208</t>
  </si>
  <si>
    <t>CUST2208</t>
  </si>
  <si>
    <t>ORD10209</t>
  </si>
  <si>
    <t>CUST2209</t>
  </si>
  <si>
    <t>ORD10210</t>
  </si>
  <si>
    <t>CUST2210</t>
  </si>
  <si>
    <t>ORD10211</t>
  </si>
  <si>
    <t>CUST2211</t>
  </si>
  <si>
    <t>ORD10212</t>
  </si>
  <si>
    <t>CUST2212</t>
  </si>
  <si>
    <t>ORD10213</t>
  </si>
  <si>
    <t>CUST2213</t>
  </si>
  <si>
    <t>ORD10214</t>
  </si>
  <si>
    <t>CUST2214</t>
  </si>
  <si>
    <t>ORD10215</t>
  </si>
  <si>
    <t>CUST2215</t>
  </si>
  <si>
    <t>ORD10216</t>
  </si>
  <si>
    <t>CUST2216</t>
  </si>
  <si>
    <t>ORD10217</t>
  </si>
  <si>
    <t>CUST2217</t>
  </si>
  <si>
    <t>ORD10218</t>
  </si>
  <si>
    <t>CUST2218</t>
  </si>
  <si>
    <t>ORD10219</t>
  </si>
  <si>
    <t>CUST2219</t>
  </si>
  <si>
    <t>ORD10220</t>
  </si>
  <si>
    <t>CUST2220</t>
  </si>
  <si>
    <t>ORD10221</t>
  </si>
  <si>
    <t>CUST2221</t>
  </si>
  <si>
    <t>ORD10222</t>
  </si>
  <si>
    <t>CUST2222</t>
  </si>
  <si>
    <t>ORD10223</t>
  </si>
  <si>
    <t>CUST2223</t>
  </si>
  <si>
    <t>ORD10224</t>
  </si>
  <si>
    <t>CUST2224</t>
  </si>
  <si>
    <t>ORD10225</t>
  </si>
  <si>
    <t>CUST2225</t>
  </si>
  <si>
    <t>ORD10226</t>
  </si>
  <si>
    <t>CUST2226</t>
  </si>
  <si>
    <t>ORD10227</t>
  </si>
  <si>
    <t>CUST2227</t>
  </si>
  <si>
    <t>ORD10228</t>
  </si>
  <si>
    <t>CUST2228</t>
  </si>
  <si>
    <t>ORD10229</t>
  </si>
  <si>
    <t>CUST2229</t>
  </si>
  <si>
    <t>ORD10230</t>
  </si>
  <si>
    <t>CUST2230</t>
  </si>
  <si>
    <t>ORD10231</t>
  </si>
  <si>
    <t>CUST2231</t>
  </si>
  <si>
    <t>ORD10232</t>
  </si>
  <si>
    <t>CUST2232</t>
  </si>
  <si>
    <t>ORD10233</t>
  </si>
  <si>
    <t>CUST2233</t>
  </si>
  <si>
    <t>ORD10234</t>
  </si>
  <si>
    <t>CUST2234</t>
  </si>
  <si>
    <t>ORD10235</t>
  </si>
  <si>
    <t>CUST2235</t>
  </si>
  <si>
    <t>ORD10236</t>
  </si>
  <si>
    <t>CUST2236</t>
  </si>
  <si>
    <t>ORD10237</t>
  </si>
  <si>
    <t>CUST2237</t>
  </si>
  <si>
    <t>ORD10238</t>
  </si>
  <si>
    <t>CUST2238</t>
  </si>
  <si>
    <t>ORD10239</t>
  </si>
  <si>
    <t>CUST2239</t>
  </si>
  <si>
    <t>ORD10240</t>
  </si>
  <si>
    <t>CUST2240</t>
  </si>
  <si>
    <t>ORD10241</t>
  </si>
  <si>
    <t>CUST2241</t>
  </si>
  <si>
    <t>ORD10242</t>
  </si>
  <si>
    <t>CUST2242</t>
  </si>
  <si>
    <t>ORD10243</t>
  </si>
  <si>
    <t>CUST2243</t>
  </si>
  <si>
    <t>ORD10244</t>
  </si>
  <si>
    <t>CUST2244</t>
  </si>
  <si>
    <t>ORD10245</t>
  </si>
  <si>
    <t>CUST2245</t>
  </si>
  <si>
    <t>ORD10246</t>
  </si>
  <si>
    <t>CUST2246</t>
  </si>
  <si>
    <t>ORD10247</t>
  </si>
  <si>
    <t>CUST2247</t>
  </si>
  <si>
    <t>ORD10248</t>
  </si>
  <si>
    <t>CUST2248</t>
  </si>
  <si>
    <t>ORD10249</t>
  </si>
  <si>
    <t>CUST2249</t>
  </si>
  <si>
    <t xml:space="preserve"> Suresh B </t>
  </si>
  <si>
    <t>ORD10250</t>
  </si>
  <si>
    <t>CUST2250</t>
  </si>
  <si>
    <t>ORD10251</t>
  </si>
  <si>
    <t>CUST2251</t>
  </si>
  <si>
    <t>ORD10252</t>
  </si>
  <si>
    <t>CUST2252</t>
  </si>
  <si>
    <t>ORD10253</t>
  </si>
  <si>
    <t>CUST2253</t>
  </si>
  <si>
    <t>ORD10254</t>
  </si>
  <si>
    <t>CUST2254</t>
  </si>
  <si>
    <t>ORD10255</t>
  </si>
  <si>
    <t>CUST2255</t>
  </si>
  <si>
    <t>ORD10256</t>
  </si>
  <si>
    <t>CUST2256</t>
  </si>
  <si>
    <t>ORD10257</t>
  </si>
  <si>
    <t>CUST2257</t>
  </si>
  <si>
    <t>ORD10258</t>
  </si>
  <si>
    <t>CUST2258</t>
  </si>
  <si>
    <t>ORD10259</t>
  </si>
  <si>
    <t>CUST2259</t>
  </si>
  <si>
    <t>ORD10260</t>
  </si>
  <si>
    <t>CUST2260</t>
  </si>
  <si>
    <t>ORD10261</t>
  </si>
  <si>
    <t>CUST2261</t>
  </si>
  <si>
    <t>ORD10262</t>
  </si>
  <si>
    <t>CUST2262</t>
  </si>
  <si>
    <t>ORD10263</t>
  </si>
  <si>
    <t>CUST2263</t>
  </si>
  <si>
    <t>ORD10264</t>
  </si>
  <si>
    <t>CUST2264</t>
  </si>
  <si>
    <t>ORD10265</t>
  </si>
  <si>
    <t>CUST2265</t>
  </si>
  <si>
    <t>ORD10266</t>
  </si>
  <si>
    <t>CUST2266</t>
  </si>
  <si>
    <t>ORD10267</t>
  </si>
  <si>
    <t>CUST2267</t>
  </si>
  <si>
    <t>ORD10268</t>
  </si>
  <si>
    <t>CUST2268</t>
  </si>
  <si>
    <t>ORD10269</t>
  </si>
  <si>
    <t>CUST2269</t>
  </si>
  <si>
    <t>ORD10270</t>
  </si>
  <si>
    <t>CUST2270</t>
  </si>
  <si>
    <t>ORD10271</t>
  </si>
  <si>
    <t>CUST2271</t>
  </si>
  <si>
    <t>ORD10272</t>
  </si>
  <si>
    <t>CUST2272</t>
  </si>
  <si>
    <t>ORD10273</t>
  </si>
  <si>
    <t>CUST2273</t>
  </si>
  <si>
    <t>ORD10274</t>
  </si>
  <si>
    <t>CUST2274</t>
  </si>
  <si>
    <t>ORD10275</t>
  </si>
  <si>
    <t>CUST2275</t>
  </si>
  <si>
    <t>ORD10276</t>
  </si>
  <si>
    <t>CUST2276</t>
  </si>
  <si>
    <t>ORD10277</t>
  </si>
  <si>
    <t>CUST2277</t>
  </si>
  <si>
    <t>ORD10278</t>
  </si>
  <si>
    <t>CUST2278</t>
  </si>
  <si>
    <t>ORD10279</t>
  </si>
  <si>
    <t>CUST2279</t>
  </si>
  <si>
    <t>ORD10280</t>
  </si>
  <si>
    <t>CUST2280</t>
  </si>
  <si>
    <t>ORD10281</t>
  </si>
  <si>
    <t>CUST2281</t>
  </si>
  <si>
    <t>ORD10282</t>
  </si>
  <si>
    <t>CUST2282</t>
  </si>
  <si>
    <t>ORD10283</t>
  </si>
  <si>
    <t>CUST2283</t>
  </si>
  <si>
    <t>ORD10284</t>
  </si>
  <si>
    <t>CUST2284</t>
  </si>
  <si>
    <t>ORD10285</t>
  </si>
  <si>
    <t>CUST2285</t>
  </si>
  <si>
    <t>ORD10286</t>
  </si>
  <si>
    <t>CUST2286</t>
  </si>
  <si>
    <t xml:space="preserve"> upi</t>
  </si>
  <si>
    <t>ORD10287</t>
  </si>
  <si>
    <t>CUST2287</t>
  </si>
  <si>
    <t>ORD10288</t>
  </si>
  <si>
    <t>CUST2288</t>
  </si>
  <si>
    <t>ORD10289</t>
  </si>
  <si>
    <t>CUST2289</t>
  </si>
  <si>
    <t>ORD10290</t>
  </si>
  <si>
    <t>CUST2290</t>
  </si>
  <si>
    <t>ORD10291</t>
  </si>
  <si>
    <t>CUST2291</t>
  </si>
  <si>
    <t>ORD10292</t>
  </si>
  <si>
    <t>CUST2292</t>
  </si>
  <si>
    <t>ORD10293</t>
  </si>
  <si>
    <t>CUST2293</t>
  </si>
  <si>
    <t>ORD10294</t>
  </si>
  <si>
    <t>CUST2294</t>
  </si>
  <si>
    <t>ORD10295</t>
  </si>
  <si>
    <t>CUST2295</t>
  </si>
  <si>
    <t>ORD10296</t>
  </si>
  <si>
    <t>CUST2296</t>
  </si>
  <si>
    <t>ORD10297</t>
  </si>
  <si>
    <t>CUST2297</t>
  </si>
  <si>
    <t>ORD10298</t>
  </si>
  <si>
    <t>CUST2298</t>
  </si>
  <si>
    <t>ORD10299</t>
  </si>
  <si>
    <t>CUST2299</t>
  </si>
  <si>
    <t>ORD10300</t>
  </si>
  <si>
    <t>CUST2300</t>
  </si>
  <si>
    <t>ORD10301</t>
  </si>
  <si>
    <t>CUST2301</t>
  </si>
  <si>
    <t>ORD10302</t>
  </si>
  <si>
    <t>CUST2302</t>
  </si>
  <si>
    <t>ORD10303</t>
  </si>
  <si>
    <t>CUST2303</t>
  </si>
  <si>
    <t>ORD10304</t>
  </si>
  <si>
    <t>CUST2304</t>
  </si>
  <si>
    <t>ORD10305</t>
  </si>
  <si>
    <t>CUST2305</t>
  </si>
  <si>
    <t>ORD10306</t>
  </si>
  <si>
    <t>CUST2306</t>
  </si>
  <si>
    <t>ORD10307</t>
  </si>
  <si>
    <t>CUST2307</t>
  </si>
  <si>
    <t>ORD10308</t>
  </si>
  <si>
    <t>CUST2308</t>
  </si>
  <si>
    <t>ORD10309</t>
  </si>
  <si>
    <t>CUST2309</t>
  </si>
  <si>
    <t>ORD10310</t>
  </si>
  <si>
    <t>CUST2310</t>
  </si>
  <si>
    <t>ORD10311</t>
  </si>
  <si>
    <t>CUST2311</t>
  </si>
  <si>
    <t>ORD10312</t>
  </si>
  <si>
    <t>CUST2312</t>
  </si>
  <si>
    <t>ORD10313</t>
  </si>
  <si>
    <t>CUST2313</t>
  </si>
  <si>
    <t>ORD10314</t>
  </si>
  <si>
    <t>CUST2314</t>
  </si>
  <si>
    <t>ORD10315</t>
  </si>
  <si>
    <t>CUST2315</t>
  </si>
  <si>
    <t>ORD10316</t>
  </si>
  <si>
    <t>CUST2316</t>
  </si>
  <si>
    <t>ORD10317</t>
  </si>
  <si>
    <t>CUST2317</t>
  </si>
  <si>
    <t>ORD10318</t>
  </si>
  <si>
    <t>CUST2318</t>
  </si>
  <si>
    <t>ORD10319</t>
  </si>
  <si>
    <t>CUST2319</t>
  </si>
  <si>
    <t>ORD10320</t>
  </si>
  <si>
    <t>CUST2320</t>
  </si>
  <si>
    <t>ORD10321</t>
  </si>
  <si>
    <t>CUST2321</t>
  </si>
  <si>
    <t xml:space="preserve"> Divya M </t>
  </si>
  <si>
    <t>ORD10322</t>
  </si>
  <si>
    <t>CUST2322</t>
  </si>
  <si>
    <t>ORD10323</t>
  </si>
  <si>
    <t>CUST2323</t>
  </si>
  <si>
    <t>ORD10324</t>
  </si>
  <si>
    <t>CUST2324</t>
  </si>
  <si>
    <t>ORD10325</t>
  </si>
  <si>
    <t>CUST2325</t>
  </si>
  <si>
    <t>ORD10326</t>
  </si>
  <si>
    <t>CUST2326</t>
  </si>
  <si>
    <t>ORD10327</t>
  </si>
  <si>
    <t>CUST2327</t>
  </si>
  <si>
    <t>ORD10328</t>
  </si>
  <si>
    <t>CUST2328</t>
  </si>
  <si>
    <t>ORD10329</t>
  </si>
  <si>
    <t>CUST2329</t>
  </si>
  <si>
    <t>ORD10330</t>
  </si>
  <si>
    <t>CUST2330</t>
  </si>
  <si>
    <t>ORD10331</t>
  </si>
  <si>
    <t>CUST2331</t>
  </si>
  <si>
    <t>ORD10332</t>
  </si>
  <si>
    <t>CUST2332</t>
  </si>
  <si>
    <t>ORD10333</t>
  </si>
  <si>
    <t>CUST2333</t>
  </si>
  <si>
    <t>ORD10334</t>
  </si>
  <si>
    <t>CUST2334</t>
  </si>
  <si>
    <t>ORD10335</t>
  </si>
  <si>
    <t>CUST2335</t>
  </si>
  <si>
    <t>ORD10336</t>
  </si>
  <si>
    <t>CUST2336</t>
  </si>
  <si>
    <t>ORD10337</t>
  </si>
  <si>
    <t>CUST2337</t>
  </si>
  <si>
    <t>ORD10338</t>
  </si>
  <si>
    <t>CUST2338</t>
  </si>
  <si>
    <t>ORD10339</t>
  </si>
  <si>
    <t>CUST2339</t>
  </si>
  <si>
    <t>ORD10340</t>
  </si>
  <si>
    <t>CUST2340</t>
  </si>
  <si>
    <t>ORD10341</t>
  </si>
  <si>
    <t>CUST2341</t>
  </si>
  <si>
    <t>ORD10342</t>
  </si>
  <si>
    <t>CUST2342</t>
  </si>
  <si>
    <t>ORD10343</t>
  </si>
  <si>
    <t>CUST2343</t>
  </si>
  <si>
    <t>ORD10344</t>
  </si>
  <si>
    <t>CUST2344</t>
  </si>
  <si>
    <t>ORD10345</t>
  </si>
  <si>
    <t>CUST2345</t>
  </si>
  <si>
    <t>ORD10346</t>
  </si>
  <si>
    <t>CUST2346</t>
  </si>
  <si>
    <t>ORD10347</t>
  </si>
  <si>
    <t>CUST2347</t>
  </si>
  <si>
    <t>ORD10348</t>
  </si>
  <si>
    <t>CUST2348</t>
  </si>
  <si>
    <t>ORD10349</t>
  </si>
  <si>
    <t>CUST2349</t>
  </si>
  <si>
    <t>ORD10350</t>
  </si>
  <si>
    <t>CUST2350</t>
  </si>
  <si>
    <t>ORD10351</t>
  </si>
  <si>
    <t>CUST2351</t>
  </si>
  <si>
    <t>ORD10352</t>
  </si>
  <si>
    <t>CUST2352</t>
  </si>
  <si>
    <t>ORD10353</t>
  </si>
  <si>
    <t>CUST2353</t>
  </si>
  <si>
    <t>ORD10354</t>
  </si>
  <si>
    <t>CUST2354</t>
  </si>
  <si>
    <t>ORD10355</t>
  </si>
  <si>
    <t>CUST2355</t>
  </si>
  <si>
    <t>ORD10356</t>
  </si>
  <si>
    <t>CUST2356</t>
  </si>
  <si>
    <t>ORD10357</t>
  </si>
  <si>
    <t>CUST2357</t>
  </si>
  <si>
    <t>ORD10358</t>
  </si>
  <si>
    <t>CUST2358</t>
  </si>
  <si>
    <t>ORD10359</t>
  </si>
  <si>
    <t>CUST2359</t>
  </si>
  <si>
    <t>ORD10360</t>
  </si>
  <si>
    <t>CUST2360</t>
  </si>
  <si>
    <t>ORD10361</t>
  </si>
  <si>
    <t>CUST2361</t>
  </si>
  <si>
    <t>ORD10362</t>
  </si>
  <si>
    <t>CUST2362</t>
  </si>
  <si>
    <t>ORD10363</t>
  </si>
  <si>
    <t>CUST2363</t>
  </si>
  <si>
    <t xml:space="preserve"> Rahul K </t>
  </si>
  <si>
    <t>ORD10364</t>
  </si>
  <si>
    <t>CUST2364</t>
  </si>
  <si>
    <t>ORD10365</t>
  </si>
  <si>
    <t>CUST2365</t>
  </si>
  <si>
    <t>ORD10366</t>
  </si>
  <si>
    <t>CUST2366</t>
  </si>
  <si>
    <t>ORD10367</t>
  </si>
  <si>
    <t>CUST2367</t>
  </si>
  <si>
    <t>ORD10368</t>
  </si>
  <si>
    <t>CUST2368</t>
  </si>
  <si>
    <t>ORD10369</t>
  </si>
  <si>
    <t>CUST2369</t>
  </si>
  <si>
    <t>ORD10370</t>
  </si>
  <si>
    <t>CUST2370</t>
  </si>
  <si>
    <t>ORD10371</t>
  </si>
  <si>
    <t>CUST2371</t>
  </si>
  <si>
    <t>ORD10372</t>
  </si>
  <si>
    <t>CUST2372</t>
  </si>
  <si>
    <t>ORD10373</t>
  </si>
  <si>
    <t>CUST2373</t>
  </si>
  <si>
    <t>ORD10374</t>
  </si>
  <si>
    <t>CUST2374</t>
  </si>
  <si>
    <t>ORD10375</t>
  </si>
  <si>
    <t>CUST2375</t>
  </si>
  <si>
    <t>ORD10376</t>
  </si>
  <si>
    <t>CUST2376</t>
  </si>
  <si>
    <t>ORD10377</t>
  </si>
  <si>
    <t>CUST2377</t>
  </si>
  <si>
    <t>ORD10378</t>
  </si>
  <si>
    <t>CUST2378</t>
  </si>
  <si>
    <t>ORD10379</t>
  </si>
  <si>
    <t>CUST2379</t>
  </si>
  <si>
    <t>ORD10380</t>
  </si>
  <si>
    <t>CUST2380</t>
  </si>
  <si>
    <t>ORD10381</t>
  </si>
  <si>
    <t>CUST2381</t>
  </si>
  <si>
    <t>ORD10382</t>
  </si>
  <si>
    <t>CUST2382</t>
  </si>
  <si>
    <t>ORD10383</t>
  </si>
  <si>
    <t>CUST2383</t>
  </si>
  <si>
    <t>ORD10384</t>
  </si>
  <si>
    <t>CUST2384</t>
  </si>
  <si>
    <t>ORD10385</t>
  </si>
  <si>
    <t>CUST2385</t>
  </si>
  <si>
    <t>ORD10386</t>
  </si>
  <si>
    <t>CUST2386</t>
  </si>
  <si>
    <t>ORD10387</t>
  </si>
  <si>
    <t>CUST2387</t>
  </si>
  <si>
    <t>ORD10388</t>
  </si>
  <si>
    <t>CUST2388</t>
  </si>
  <si>
    <t>ORD10389</t>
  </si>
  <si>
    <t>CUST2389</t>
  </si>
  <si>
    <t>ORD10390</t>
  </si>
  <si>
    <t>CUST2390</t>
  </si>
  <si>
    <t>ORD10391</t>
  </si>
  <si>
    <t>CUST2391</t>
  </si>
  <si>
    <t>ORD10392</t>
  </si>
  <si>
    <t>CUST2392</t>
  </si>
  <si>
    <t>ORD10393</t>
  </si>
  <si>
    <t>CUST2393</t>
  </si>
  <si>
    <t>ORD10394</t>
  </si>
  <si>
    <t>CUST2394</t>
  </si>
  <si>
    <t>ORD10395</t>
  </si>
  <si>
    <t>CUST2395</t>
  </si>
  <si>
    <t>ORD10396</t>
  </si>
  <si>
    <t>CUST2396</t>
  </si>
  <si>
    <t>ORD10397</t>
  </si>
  <si>
    <t>CUST2397</t>
  </si>
  <si>
    <t>ORD10398</t>
  </si>
  <si>
    <t>CUST2398</t>
  </si>
  <si>
    <t>ORD10399</t>
  </si>
  <si>
    <t>CUST2399</t>
  </si>
  <si>
    <t>ORD10400</t>
  </si>
  <si>
    <t>CUST2400</t>
  </si>
  <si>
    <t>ORD10401</t>
  </si>
  <si>
    <t>CUST2401</t>
  </si>
  <si>
    <t>ORD10402</t>
  </si>
  <si>
    <t>CUST2402</t>
  </si>
  <si>
    <t>ORD10403</t>
  </si>
  <si>
    <t>CUST2403</t>
  </si>
  <si>
    <t>ORD10404</t>
  </si>
  <si>
    <t>CUST2404</t>
  </si>
  <si>
    <t xml:space="preserve">Cash </t>
  </si>
  <si>
    <t>ORD10405</t>
  </si>
  <si>
    <t>CUST2405</t>
  </si>
  <si>
    <t>ORD10406</t>
  </si>
  <si>
    <t>CUST2406</t>
  </si>
  <si>
    <t>ORD10407</t>
  </si>
  <si>
    <t>CUST2407</t>
  </si>
  <si>
    <t>ORD10408</t>
  </si>
  <si>
    <t>CUST2408</t>
  </si>
  <si>
    <t>ORD10409</t>
  </si>
  <si>
    <t>CUST2409</t>
  </si>
  <si>
    <t>ORD10410</t>
  </si>
  <si>
    <t>CUST2410</t>
  </si>
  <si>
    <t>ORD10411</t>
  </si>
  <si>
    <t>CUST2411</t>
  </si>
  <si>
    <t>ORD10412</t>
  </si>
  <si>
    <t>CUST2412</t>
  </si>
  <si>
    <t>ORD10413</t>
  </si>
  <si>
    <t>CUST2413</t>
  </si>
  <si>
    <t>ORD10414</t>
  </si>
  <si>
    <t>CUST2414</t>
  </si>
  <si>
    <t>ORD10415</t>
  </si>
  <si>
    <t>CUST2415</t>
  </si>
  <si>
    <t>ORD10416</t>
  </si>
  <si>
    <t>CUST2416</t>
  </si>
  <si>
    <t>ORD10417</t>
  </si>
  <si>
    <t>CUST2417</t>
  </si>
  <si>
    <t>ORD10418</t>
  </si>
  <si>
    <t>CUST2418</t>
  </si>
  <si>
    <t>ORD10419</t>
  </si>
  <si>
    <t>CUST2419</t>
  </si>
  <si>
    <t>ORD10420</t>
  </si>
  <si>
    <t>CUST2420</t>
  </si>
  <si>
    <t>ORD10421</t>
  </si>
  <si>
    <t>CUST2421</t>
  </si>
  <si>
    <t>ORD10422</t>
  </si>
  <si>
    <t>CUST2422</t>
  </si>
  <si>
    <t>ORD10423</t>
  </si>
  <si>
    <t>CUST2423</t>
  </si>
  <si>
    <t>ORD10424</t>
  </si>
  <si>
    <t>CUST2424</t>
  </si>
  <si>
    <t>ORD10425</t>
  </si>
  <si>
    <t>CUST2425</t>
  </si>
  <si>
    <t>ORD10426</t>
  </si>
  <si>
    <t>CUST2426</t>
  </si>
  <si>
    <t>ORD10427</t>
  </si>
  <si>
    <t>CUST2427</t>
  </si>
  <si>
    <t>ORD10428</t>
  </si>
  <si>
    <t>CUST2428</t>
  </si>
  <si>
    <t>ORD10429</t>
  </si>
  <si>
    <t>CUST2429</t>
  </si>
  <si>
    <t>ORD10430</t>
  </si>
  <si>
    <t>CUST2430</t>
  </si>
  <si>
    <t>ORD10431</t>
  </si>
  <si>
    <t>CUST2431</t>
  </si>
  <si>
    <t>ORD10432</t>
  </si>
  <si>
    <t>CUST2432</t>
  </si>
  <si>
    <t>ORD10433</t>
  </si>
  <si>
    <t>CUST2433</t>
  </si>
  <si>
    <t>ORD10434</t>
  </si>
  <si>
    <t>CUST2434</t>
  </si>
  <si>
    <t>ORD10435</t>
  </si>
  <si>
    <t>CUST2435</t>
  </si>
  <si>
    <t>ORD10436</t>
  </si>
  <si>
    <t>CUST2436</t>
  </si>
  <si>
    <t>ORD10437</t>
  </si>
  <si>
    <t>CUST2437</t>
  </si>
  <si>
    <t>ORD10438</t>
  </si>
  <si>
    <t>CUST2438</t>
  </si>
  <si>
    <t>ORD10439</t>
  </si>
  <si>
    <t>CUST2439</t>
  </si>
  <si>
    <t>ORD10440</t>
  </si>
  <si>
    <t>CUST2440</t>
  </si>
  <si>
    <t>ORD10441</t>
  </si>
  <si>
    <t>CUST2441</t>
  </si>
  <si>
    <t>ORD10442</t>
  </si>
  <si>
    <t>CUST2442</t>
  </si>
  <si>
    <t>ORD10443</t>
  </si>
  <si>
    <t>CUST2443</t>
  </si>
  <si>
    <t>ORD10444</t>
  </si>
  <si>
    <t>CUST2444</t>
  </si>
  <si>
    <t>ORD10445</t>
  </si>
  <si>
    <t>CUST2445</t>
  </si>
  <si>
    <t>ORD10446</t>
  </si>
  <si>
    <t>CUST2446</t>
  </si>
  <si>
    <t>ORD10447</t>
  </si>
  <si>
    <t>CUST2447</t>
  </si>
  <si>
    <t>ORD10448</t>
  </si>
  <si>
    <t>CUST2448</t>
  </si>
  <si>
    <t>ORD10449</t>
  </si>
  <si>
    <t>CUST2449</t>
  </si>
  <si>
    <t>ORD10450</t>
  </si>
  <si>
    <t>CUST2450</t>
  </si>
  <si>
    <t>ORD10451</t>
  </si>
  <si>
    <t>CUST2451</t>
  </si>
  <si>
    <t>ORD10452</t>
  </si>
  <si>
    <t>CUST2452</t>
  </si>
  <si>
    <t>ORD10453</t>
  </si>
  <si>
    <t>CUST2453</t>
  </si>
  <si>
    <t>ORD10454</t>
  </si>
  <si>
    <t>CUST2454</t>
  </si>
  <si>
    <t>ORD10455</t>
  </si>
  <si>
    <t>CUST2455</t>
  </si>
  <si>
    <t>ORD10456</t>
  </si>
  <si>
    <t>CUST2456</t>
  </si>
  <si>
    <t>ORD10457</t>
  </si>
  <si>
    <t>CUST2457</t>
  </si>
  <si>
    <t>ORD10458</t>
  </si>
  <si>
    <t>CUST2458</t>
  </si>
  <si>
    <t>ORD10459</t>
  </si>
  <si>
    <t>CUST2459</t>
  </si>
  <si>
    <t>ORD10460</t>
  </si>
  <si>
    <t>CUST2460</t>
  </si>
  <si>
    <t>ORD10461</t>
  </si>
  <si>
    <t>CUST2461</t>
  </si>
  <si>
    <t>ORD10462</t>
  </si>
  <si>
    <t>CUST2462</t>
  </si>
  <si>
    <t>ORD10463</t>
  </si>
  <si>
    <t>CUST2463</t>
  </si>
  <si>
    <t>ORD10464</t>
  </si>
  <si>
    <t>CUST2464</t>
  </si>
  <si>
    <t>ORD10465</t>
  </si>
  <si>
    <t>CUST2465</t>
  </si>
  <si>
    <t>ORD10466</t>
  </si>
  <si>
    <t>CUST2466</t>
  </si>
  <si>
    <t>ORD10467</t>
  </si>
  <si>
    <t>CUST2467</t>
  </si>
  <si>
    <t>ORD10468</t>
  </si>
  <si>
    <t>CUST2468</t>
  </si>
  <si>
    <t>ORD10469</t>
  </si>
  <si>
    <t>CUST2469</t>
  </si>
  <si>
    <t>ORD10470</t>
  </si>
  <si>
    <t>CUST2470</t>
  </si>
  <si>
    <t>ORD10471</t>
  </si>
  <si>
    <t>CUST2471</t>
  </si>
  <si>
    <t>ORD10472</t>
  </si>
  <si>
    <t>CUST2472</t>
  </si>
  <si>
    <t>ORD10473</t>
  </si>
  <si>
    <t>CUST2473</t>
  </si>
  <si>
    <t>ORD10474</t>
  </si>
  <si>
    <t>CUST2474</t>
  </si>
  <si>
    <t>ORD10475</t>
  </si>
  <si>
    <t>CUST2475</t>
  </si>
  <si>
    <t>ORD10476</t>
  </si>
  <si>
    <t>CUST2476</t>
  </si>
  <si>
    <t>ORD10477</t>
  </si>
  <si>
    <t>CUST2477</t>
  </si>
  <si>
    <t>ORD10478</t>
  </si>
  <si>
    <t>CUST2478</t>
  </si>
  <si>
    <t>ORD10479</t>
  </si>
  <si>
    <t>CUST2479</t>
  </si>
  <si>
    <t>ORD10480</t>
  </si>
  <si>
    <t>CUST2480</t>
  </si>
  <si>
    <t>ORD10481</t>
  </si>
  <si>
    <t>CUST2481</t>
  </si>
  <si>
    <t>ORD10482</t>
  </si>
  <si>
    <t>CUST2482</t>
  </si>
  <si>
    <t>ORD10483</t>
  </si>
  <si>
    <t>CUST2483</t>
  </si>
  <si>
    <t>ORD10484</t>
  </si>
  <si>
    <t>CUST2484</t>
  </si>
  <si>
    <t>ORD10485</t>
  </si>
  <si>
    <t>CUST2485</t>
  </si>
  <si>
    <t>ORD10486</t>
  </si>
  <si>
    <t>CUST2486</t>
  </si>
  <si>
    <t>ORD10487</t>
  </si>
  <si>
    <t>CUST2487</t>
  </si>
  <si>
    <t>ORD10488</t>
  </si>
  <si>
    <t>CUST2488</t>
  </si>
  <si>
    <t>ORD10489</t>
  </si>
  <si>
    <t>CUST2489</t>
  </si>
  <si>
    <t>ORD10490</t>
  </si>
  <si>
    <t>CUST2490</t>
  </si>
  <si>
    <t>ORD10491</t>
  </si>
  <si>
    <t>CUST2491</t>
  </si>
  <si>
    <t>ORD10492</t>
  </si>
  <si>
    <t>CUST2492</t>
  </si>
  <si>
    <t>ORD10493</t>
  </si>
  <si>
    <t>CUST2493</t>
  </si>
  <si>
    <t>ORD10494</t>
  </si>
  <si>
    <t>CUST2494</t>
  </si>
  <si>
    <t xml:space="preserve">Trichy </t>
  </si>
  <si>
    <t>ORD10495</t>
  </si>
  <si>
    <t>CUST2495</t>
  </si>
  <si>
    <t>ORD10496</t>
  </si>
  <si>
    <t>CUST2496</t>
  </si>
  <si>
    <t>ORD10497</t>
  </si>
  <si>
    <t>CUST2497</t>
  </si>
  <si>
    <t>ORD10498</t>
  </si>
  <si>
    <t>CUST2498</t>
  </si>
  <si>
    <t>ORD10499</t>
  </si>
  <si>
    <t>CUST2499</t>
  </si>
  <si>
    <t>ORD10500</t>
  </si>
  <si>
    <t>CUST2500</t>
  </si>
  <si>
    <t>ORD10501</t>
  </si>
  <si>
    <t>CUST2501</t>
  </si>
  <si>
    <t>ORD10502</t>
  </si>
  <si>
    <t>CUST2502</t>
  </si>
  <si>
    <t>ORD10503</t>
  </si>
  <si>
    <t>CUST2503</t>
  </si>
  <si>
    <t>ORD10504</t>
  </si>
  <si>
    <t>CUST2504</t>
  </si>
  <si>
    <t>ORD10505</t>
  </si>
  <si>
    <t>CUST2505</t>
  </si>
  <si>
    <t>ORD10506</t>
  </si>
  <si>
    <t>CUST2506</t>
  </si>
  <si>
    <t>ORD10507</t>
  </si>
  <si>
    <t>CUST2507</t>
  </si>
  <si>
    <t>ORD10508</t>
  </si>
  <si>
    <t>CUST2508</t>
  </si>
  <si>
    <t>ORD10509</t>
  </si>
  <si>
    <t>CUST2509</t>
  </si>
  <si>
    <t>ORD10510</t>
  </si>
  <si>
    <t>CUST2510</t>
  </si>
  <si>
    <t>ORD10511</t>
  </si>
  <si>
    <t>CUST2511</t>
  </si>
  <si>
    <t>ORD10512</t>
  </si>
  <si>
    <t>CUST2512</t>
  </si>
  <si>
    <t>ORD10513</t>
  </si>
  <si>
    <t>CUST2513</t>
  </si>
  <si>
    <t>ORD10514</t>
  </si>
  <si>
    <t>CUST2514</t>
  </si>
  <si>
    <t>ORD10515</t>
  </si>
  <si>
    <t>CUST2515</t>
  </si>
  <si>
    <t>ORD10516</t>
  </si>
  <si>
    <t>CUST2516</t>
  </si>
  <si>
    <t>ORD10517</t>
  </si>
  <si>
    <t>CUST2517</t>
  </si>
  <si>
    <t>ORD10518</t>
  </si>
  <si>
    <t>CUST2518</t>
  </si>
  <si>
    <t>ORD10519</t>
  </si>
  <si>
    <t>CUST2519</t>
  </si>
  <si>
    <t>ORD10520</t>
  </si>
  <si>
    <t>CUST2520</t>
  </si>
  <si>
    <t>ORD10521</t>
  </si>
  <si>
    <t>CUST2521</t>
  </si>
  <si>
    <t>ORD10522</t>
  </si>
  <si>
    <t>CUST2522</t>
  </si>
  <si>
    <t>ORD10523</t>
  </si>
  <si>
    <t>CUST2523</t>
  </si>
  <si>
    <t>ORD10524</t>
  </si>
  <si>
    <t>CUST2524</t>
  </si>
  <si>
    <t>ORD10525</t>
  </si>
  <si>
    <t>CUST2525</t>
  </si>
  <si>
    <t>ORD10526</t>
  </si>
  <si>
    <t>CUST2526</t>
  </si>
  <si>
    <t>ORD10527</t>
  </si>
  <si>
    <t>CUST2527</t>
  </si>
  <si>
    <t>ORD10528</t>
  </si>
  <si>
    <t>CUST2528</t>
  </si>
  <si>
    <t>ORD10529</t>
  </si>
  <si>
    <t>CUST2529</t>
  </si>
  <si>
    <t>ORD10530</t>
  </si>
  <si>
    <t>CUST2530</t>
  </si>
  <si>
    <t>ORD10531</t>
  </si>
  <si>
    <t>CUST2531</t>
  </si>
  <si>
    <t>ORD10532</t>
  </si>
  <si>
    <t>CUST2532</t>
  </si>
  <si>
    <t>ORD10533</t>
  </si>
  <si>
    <t>CUST2533</t>
  </si>
  <si>
    <t>ORD10534</t>
  </si>
  <si>
    <t>CUST2534</t>
  </si>
  <si>
    <t>ORD10535</t>
  </si>
  <si>
    <t>CUST2535</t>
  </si>
  <si>
    <t>ORD10536</t>
  </si>
  <si>
    <t>CUST2536</t>
  </si>
  <si>
    <t>ORD10537</t>
  </si>
  <si>
    <t>CUST2537</t>
  </si>
  <si>
    <t>ORD10538</t>
  </si>
  <si>
    <t>CUST2538</t>
  </si>
  <si>
    <t>ORD10539</t>
  </si>
  <si>
    <t>CUST2539</t>
  </si>
  <si>
    <t>ORD10540</t>
  </si>
  <si>
    <t>CUST2540</t>
  </si>
  <si>
    <t>ORD10541</t>
  </si>
  <si>
    <t>CUST2541</t>
  </si>
  <si>
    <t>ORD10542</t>
  </si>
  <si>
    <t>CUST2542</t>
  </si>
  <si>
    <t>ORD10543</t>
  </si>
  <si>
    <t>CUST2543</t>
  </si>
  <si>
    <t>ORD10544</t>
  </si>
  <si>
    <t>CUST2544</t>
  </si>
  <si>
    <t>ORD10545</t>
  </si>
  <si>
    <t>CUST2545</t>
  </si>
  <si>
    <t>ORD10546</t>
  </si>
  <si>
    <t>CUST2546</t>
  </si>
  <si>
    <t>ORD10547</t>
  </si>
  <si>
    <t>CUST2547</t>
  </si>
  <si>
    <t>ORD10548</t>
  </si>
  <si>
    <t>CUST2548</t>
  </si>
  <si>
    <t>ORD10549</t>
  </si>
  <si>
    <t>CUST2549</t>
  </si>
  <si>
    <t>ORD10550</t>
  </si>
  <si>
    <t>CUST2550</t>
  </si>
  <si>
    <t>ORD10551</t>
  </si>
  <si>
    <t>CUST2551</t>
  </si>
  <si>
    <t>ORD10552</t>
  </si>
  <si>
    <t>CUST2552</t>
  </si>
  <si>
    <t>ORD10553</t>
  </si>
  <si>
    <t>CUST2553</t>
  </si>
  <si>
    <t>ORD10554</t>
  </si>
  <si>
    <t>CUST2554</t>
  </si>
  <si>
    <t>ORD10555</t>
  </si>
  <si>
    <t>CUST2555</t>
  </si>
  <si>
    <t>ORD10556</t>
  </si>
  <si>
    <t>CUST2556</t>
  </si>
  <si>
    <t>ORD10557</t>
  </si>
  <si>
    <t>CUST2557</t>
  </si>
  <si>
    <t>ORD10558</t>
  </si>
  <si>
    <t>CUST2558</t>
  </si>
  <si>
    <t>ORD10559</t>
  </si>
  <si>
    <t>CUST2559</t>
  </si>
  <si>
    <t>ORD10560</t>
  </si>
  <si>
    <t>CUST2560</t>
  </si>
  <si>
    <t>ORD10561</t>
  </si>
  <si>
    <t>CUST2561</t>
  </si>
  <si>
    <t>ORD10562</t>
  </si>
  <si>
    <t>CUST2562</t>
  </si>
  <si>
    <t>ORD10563</t>
  </si>
  <si>
    <t>CUST2563</t>
  </si>
  <si>
    <t>ORD10564</t>
  </si>
  <si>
    <t>CUST2564</t>
  </si>
  <si>
    <t>ORD10565</t>
  </si>
  <si>
    <t>CUST2565</t>
  </si>
  <si>
    <t>ORD10566</t>
  </si>
  <si>
    <t>CUST2566</t>
  </si>
  <si>
    <t>ORD10567</t>
  </si>
  <si>
    <t>CUST2567</t>
  </si>
  <si>
    <t>ORD10568</t>
  </si>
  <si>
    <t>CUST2568</t>
  </si>
  <si>
    <t>ORD10569</t>
  </si>
  <si>
    <t>CUST2569</t>
  </si>
  <si>
    <t>ORD10570</t>
  </si>
  <si>
    <t>CUST2570</t>
  </si>
  <si>
    <t>ORD10571</t>
  </si>
  <si>
    <t>CUST2571</t>
  </si>
  <si>
    <t>ORD10572</t>
  </si>
  <si>
    <t>CUST2572</t>
  </si>
  <si>
    <t>ORD10573</t>
  </si>
  <si>
    <t>CUST2573</t>
  </si>
  <si>
    <t>ORD10574</t>
  </si>
  <si>
    <t>CUST2574</t>
  </si>
  <si>
    <t>ORD10575</t>
  </si>
  <si>
    <t>CUST2575</t>
  </si>
  <si>
    <t>ORD10576</t>
  </si>
  <si>
    <t>CUST2576</t>
  </si>
  <si>
    <t>ORD10577</t>
  </si>
  <si>
    <t>CUST2577</t>
  </si>
  <si>
    <t>ORD10578</t>
  </si>
  <si>
    <t>CUST2578</t>
  </si>
  <si>
    <t>ORD10579</t>
  </si>
  <si>
    <t>CUST2579</t>
  </si>
  <si>
    <t>ORD10580</t>
  </si>
  <si>
    <t>CUST2580</t>
  </si>
  <si>
    <t>ORD10581</t>
  </si>
  <si>
    <t>CUST2581</t>
  </si>
  <si>
    <t>ORD10582</t>
  </si>
  <si>
    <t>CUST2582</t>
  </si>
  <si>
    <t>ORD10583</t>
  </si>
  <si>
    <t>CUST2583</t>
  </si>
  <si>
    <t>ORD10584</t>
  </si>
  <si>
    <t>CUST2584</t>
  </si>
  <si>
    <t>ORD10585</t>
  </si>
  <si>
    <t>CUST2585</t>
  </si>
  <si>
    <t>ORD10586</t>
  </si>
  <si>
    <t>CUST2586</t>
  </si>
  <si>
    <t>ORD10587</t>
  </si>
  <si>
    <t>CUST2587</t>
  </si>
  <si>
    <t>ORD10588</t>
  </si>
  <si>
    <t>CUST2588</t>
  </si>
  <si>
    <t>ORD10589</t>
  </si>
  <si>
    <t>CUST2589</t>
  </si>
  <si>
    <t>ORD10590</t>
  </si>
  <si>
    <t>CUST2590</t>
  </si>
  <si>
    <t>ORD10591</t>
  </si>
  <si>
    <t>CUST2591</t>
  </si>
  <si>
    <t>ORD10592</t>
  </si>
  <si>
    <t>CUST2592</t>
  </si>
  <si>
    <t>ORD10593</t>
  </si>
  <si>
    <t>CUST2593</t>
  </si>
  <si>
    <t>ORD10594</t>
  </si>
  <si>
    <t>CUST2594</t>
  </si>
  <si>
    <t>ORD10595</t>
  </si>
  <si>
    <t>CUST2595</t>
  </si>
  <si>
    <t>ORD10596</t>
  </si>
  <si>
    <t>CUST2596</t>
  </si>
  <si>
    <t>ORD10597</t>
  </si>
  <si>
    <t>CUST2597</t>
  </si>
  <si>
    <t>ORD10598</t>
  </si>
  <si>
    <t>CUST2598</t>
  </si>
  <si>
    <t>ORD10599</t>
  </si>
  <si>
    <t>CUST2599</t>
  </si>
  <si>
    <t>ORD10600</t>
  </si>
  <si>
    <t>CUST2600</t>
  </si>
  <si>
    <t>ORD10601</t>
  </si>
  <si>
    <t>CUST2601</t>
  </si>
  <si>
    <t>ORD10602</t>
  </si>
  <si>
    <t>CUST2602</t>
  </si>
  <si>
    <t>ORD10603</t>
  </si>
  <si>
    <t>CUST2603</t>
  </si>
  <si>
    <t>ORD10604</t>
  </si>
  <si>
    <t>CUST2604</t>
  </si>
  <si>
    <t>ORD10605</t>
  </si>
  <si>
    <t>CUST2605</t>
  </si>
  <si>
    <t>ORD10606</t>
  </si>
  <si>
    <t>CUST2606</t>
  </si>
  <si>
    <t>ORD10607</t>
  </si>
  <si>
    <t>CUST2607</t>
  </si>
  <si>
    <t>ORD10608</t>
  </si>
  <si>
    <t>CUST2608</t>
  </si>
  <si>
    <t>ORD10609</t>
  </si>
  <si>
    <t>CUST2609</t>
  </si>
  <si>
    <t>ORD10610</t>
  </si>
  <si>
    <t>CUST2610</t>
  </si>
  <si>
    <t>ORD10611</t>
  </si>
  <si>
    <t>CUST2611</t>
  </si>
  <si>
    <t>ORD10612</t>
  </si>
  <si>
    <t>CUST2612</t>
  </si>
  <si>
    <t>ORD10613</t>
  </si>
  <si>
    <t>CUST2613</t>
  </si>
  <si>
    <t>ORD10614</t>
  </si>
  <si>
    <t>CUST2614</t>
  </si>
  <si>
    <t>ORD10615</t>
  </si>
  <si>
    <t>CUST2615</t>
  </si>
  <si>
    <t>ORD10616</t>
  </si>
  <si>
    <t>CUST2616</t>
  </si>
  <si>
    <t>ORD10617</t>
  </si>
  <si>
    <t>CUST2617</t>
  </si>
  <si>
    <t>ORD10618</t>
  </si>
  <si>
    <t>CUST2618</t>
  </si>
  <si>
    <t>ORD10619</t>
  </si>
  <si>
    <t>CUST2619</t>
  </si>
  <si>
    <t>ORD10620</t>
  </si>
  <si>
    <t>CUST2620</t>
  </si>
  <si>
    <t>ORD10621</t>
  </si>
  <si>
    <t>CUST2621</t>
  </si>
  <si>
    <t>ORD10622</t>
  </si>
  <si>
    <t>CUST2622</t>
  </si>
  <si>
    <t>ORD10623</t>
  </si>
  <si>
    <t>CUST2623</t>
  </si>
  <si>
    <t>ORD10624</t>
  </si>
  <si>
    <t>CUST2624</t>
  </si>
  <si>
    <t>ORD10625</t>
  </si>
  <si>
    <t>CUST2625</t>
  </si>
  <si>
    <t>ORD10626</t>
  </si>
  <si>
    <t>CUST2626</t>
  </si>
  <si>
    <t>ORD10627</t>
  </si>
  <si>
    <t>CUST2627</t>
  </si>
  <si>
    <t>ORD10628</t>
  </si>
  <si>
    <t>CUST2628</t>
  </si>
  <si>
    <t>ORD10629</t>
  </si>
  <si>
    <t>CUST2629</t>
  </si>
  <si>
    <t>ORD10630</t>
  </si>
  <si>
    <t>CUST2630</t>
  </si>
  <si>
    <t>ORD10631</t>
  </si>
  <si>
    <t>CUST2631</t>
  </si>
  <si>
    <t>ORD10632</t>
  </si>
  <si>
    <t>CUST2632</t>
  </si>
  <si>
    <t>ORD10633</t>
  </si>
  <si>
    <t>CUST2633</t>
  </si>
  <si>
    <t>ORD10634</t>
  </si>
  <si>
    <t>CUST2634</t>
  </si>
  <si>
    <t>ORD10635</t>
  </si>
  <si>
    <t>CUST2635</t>
  </si>
  <si>
    <t>ORD10636</t>
  </si>
  <si>
    <t>CUST2636</t>
  </si>
  <si>
    <t>ORD10637</t>
  </si>
  <si>
    <t>CUST2637</t>
  </si>
  <si>
    <t>ORD10638</t>
  </si>
  <si>
    <t>CUST2638</t>
  </si>
  <si>
    <t>ORD10639</t>
  </si>
  <si>
    <t>CUST2639</t>
  </si>
  <si>
    <t>ORD10640</t>
  </si>
  <si>
    <t>CUST2640</t>
  </si>
  <si>
    <t>ORD10641</t>
  </si>
  <si>
    <t>CUST2641</t>
  </si>
  <si>
    <t>ORD10642</t>
  </si>
  <si>
    <t>CUST2642</t>
  </si>
  <si>
    <t>ORD10643</t>
  </si>
  <si>
    <t>CUST2643</t>
  </si>
  <si>
    <t>ORD10644</t>
  </si>
  <si>
    <t>CUST2644</t>
  </si>
  <si>
    <t>ORD10645</t>
  </si>
  <si>
    <t>CUST2645</t>
  </si>
  <si>
    <t>ORD10646</t>
  </si>
  <si>
    <t>CUST2646</t>
  </si>
  <si>
    <t>ORD10647</t>
  </si>
  <si>
    <t>CUST2647</t>
  </si>
  <si>
    <t>ORD10648</t>
  </si>
  <si>
    <t>CUST2648</t>
  </si>
  <si>
    <t>ORD10649</t>
  </si>
  <si>
    <t>CUST2649</t>
  </si>
  <si>
    <t>ORD10650</t>
  </si>
  <si>
    <t>CUST2650</t>
  </si>
  <si>
    <t>ORD10651</t>
  </si>
  <si>
    <t>CUST2651</t>
  </si>
  <si>
    <t>ORD10652</t>
  </si>
  <si>
    <t>CUST2652</t>
  </si>
  <si>
    <t>ORD10653</t>
  </si>
  <si>
    <t>CUST2653</t>
  </si>
  <si>
    <t>ORD10654</t>
  </si>
  <si>
    <t>CUST2654</t>
  </si>
  <si>
    <t>ORD10655</t>
  </si>
  <si>
    <t>CUST2655</t>
  </si>
  <si>
    <t>ORD10656</t>
  </si>
  <si>
    <t>CUST2656</t>
  </si>
  <si>
    <t>ORD10657</t>
  </si>
  <si>
    <t>CUST2657</t>
  </si>
  <si>
    <t>ORD10658</t>
  </si>
  <si>
    <t>CUST2658</t>
  </si>
  <si>
    <t>ORD10659</t>
  </si>
  <si>
    <t>CUST2659</t>
  </si>
  <si>
    <t>ORD10660</t>
  </si>
  <si>
    <t>CUST2660</t>
  </si>
  <si>
    <t>ORD10661</t>
  </si>
  <si>
    <t>CUST2661</t>
  </si>
  <si>
    <t>ORD10662</t>
  </si>
  <si>
    <t>CUST2662</t>
  </si>
  <si>
    <t>ORD10663</t>
  </si>
  <si>
    <t>CUST2663</t>
  </si>
  <si>
    <t>ORD10664</t>
  </si>
  <si>
    <t>CUST2664</t>
  </si>
  <si>
    <t>ORD10665</t>
  </si>
  <si>
    <t>CUST2665</t>
  </si>
  <si>
    <t>ORD10666</t>
  </si>
  <si>
    <t>CUST2666</t>
  </si>
  <si>
    <t xml:space="preserve">Erode </t>
  </si>
  <si>
    <t>ORD10667</t>
  </si>
  <si>
    <t>CUST2667</t>
  </si>
  <si>
    <t>ORD10668</t>
  </si>
  <si>
    <t>CUST2668</t>
  </si>
  <si>
    <t>ORD10669</t>
  </si>
  <si>
    <t>CUST2669</t>
  </si>
  <si>
    <t>ORD10670</t>
  </si>
  <si>
    <t>CUST2670</t>
  </si>
  <si>
    <t>ORD10671</t>
  </si>
  <si>
    <t>CUST2671</t>
  </si>
  <si>
    <t>ORD10672</t>
  </si>
  <si>
    <t>CUST2672</t>
  </si>
  <si>
    <t>ORD10673</t>
  </si>
  <si>
    <t>CUST2673</t>
  </si>
  <si>
    <t>ORD10674</t>
  </si>
  <si>
    <t>CUST2674</t>
  </si>
  <si>
    <t>ORD10675</t>
  </si>
  <si>
    <t>CUST2675</t>
  </si>
  <si>
    <t>ORD10676</t>
  </si>
  <si>
    <t>CUST2676</t>
  </si>
  <si>
    <t>ORD10677</t>
  </si>
  <si>
    <t>CUST2677</t>
  </si>
  <si>
    <t>ORD10678</t>
  </si>
  <si>
    <t>CUST2678</t>
  </si>
  <si>
    <t>ORD10679</t>
  </si>
  <si>
    <t>CUST2679</t>
  </si>
  <si>
    <t>ORD10680</t>
  </si>
  <si>
    <t>CUST2680</t>
  </si>
  <si>
    <t>ORD10681</t>
  </si>
  <si>
    <t>CUST2681</t>
  </si>
  <si>
    <t>ORD10682</t>
  </si>
  <si>
    <t>CUST2682</t>
  </si>
  <si>
    <t>ORD10683</t>
  </si>
  <si>
    <t>CUST2683</t>
  </si>
  <si>
    <t>ORD10684</t>
  </si>
  <si>
    <t>CUST2684</t>
  </si>
  <si>
    <t>ORD10685</t>
  </si>
  <si>
    <t>CUST2685</t>
  </si>
  <si>
    <t>ORD10686</t>
  </si>
  <si>
    <t>CUST2686</t>
  </si>
  <si>
    <t>ORD10687</t>
  </si>
  <si>
    <t>CUST2687</t>
  </si>
  <si>
    <t>ORD10688</t>
  </si>
  <si>
    <t>CUST2688</t>
  </si>
  <si>
    <t>ORD10689</t>
  </si>
  <si>
    <t>CUST2689</t>
  </si>
  <si>
    <t>ORD10690</t>
  </si>
  <si>
    <t>CUST2690</t>
  </si>
  <si>
    <t>ORD10691</t>
  </si>
  <si>
    <t>CUST2691</t>
  </si>
  <si>
    <t>ORD10692</t>
  </si>
  <si>
    <t>CUST2692</t>
  </si>
  <si>
    <t>ORD10693</t>
  </si>
  <si>
    <t>CUST2693</t>
  </si>
  <si>
    <t>ORD10694</t>
  </si>
  <si>
    <t>CUST2694</t>
  </si>
  <si>
    <t>ORD10695</t>
  </si>
  <si>
    <t>CUST2695</t>
  </si>
  <si>
    <t>ORD10696</t>
  </si>
  <si>
    <t>CUST2696</t>
  </si>
  <si>
    <t>ORD10697</t>
  </si>
  <si>
    <t>CUST2697</t>
  </si>
  <si>
    <t>ORD10698</t>
  </si>
  <si>
    <t>CUST2698</t>
  </si>
  <si>
    <t>ORD10699</t>
  </si>
  <si>
    <t>CUST2699</t>
  </si>
  <si>
    <t>ORD10700</t>
  </si>
  <si>
    <t>CUST2700</t>
  </si>
  <si>
    <t>ORD10701</t>
  </si>
  <si>
    <t>CUST2701</t>
  </si>
  <si>
    <t>ORD10702</t>
  </si>
  <si>
    <t>CUST2702</t>
  </si>
  <si>
    <t>ORD10703</t>
  </si>
  <si>
    <t>CUST2703</t>
  </si>
  <si>
    <t>ORD10704</t>
  </si>
  <si>
    <t>CUST2704</t>
  </si>
  <si>
    <t>ORD10705</t>
  </si>
  <si>
    <t>CUST2705</t>
  </si>
  <si>
    <t>ORD10706</t>
  </si>
  <si>
    <t>CUST2706</t>
  </si>
  <si>
    <t>ORD10707</t>
  </si>
  <si>
    <t>CUST2707</t>
  </si>
  <si>
    <t>ORD10708</t>
  </si>
  <si>
    <t>CUST2708</t>
  </si>
  <si>
    <t>ORD10709</t>
  </si>
  <si>
    <t>CUST2709</t>
  </si>
  <si>
    <t>ORD10710</t>
  </si>
  <si>
    <t>CUST2710</t>
  </si>
  <si>
    <t>ORD10711</t>
  </si>
  <si>
    <t>CUST2711</t>
  </si>
  <si>
    <t>ORD10712</t>
  </si>
  <si>
    <t>CUST2712</t>
  </si>
  <si>
    <t>ORD10713</t>
  </si>
  <si>
    <t>CUST2713</t>
  </si>
  <si>
    <t>ORD10714</t>
  </si>
  <si>
    <t>CUST2714</t>
  </si>
  <si>
    <t>ORD10715</t>
  </si>
  <si>
    <t>CUST2715</t>
  </si>
  <si>
    <t>ORD10716</t>
  </si>
  <si>
    <t>CUST2716</t>
  </si>
  <si>
    <t>ORD10717</t>
  </si>
  <si>
    <t>CUST2717</t>
  </si>
  <si>
    <t>ORD10718</t>
  </si>
  <si>
    <t>CUST2718</t>
  </si>
  <si>
    <t>ORD10719</t>
  </si>
  <si>
    <t>CUST2719</t>
  </si>
  <si>
    <t>ORD10720</t>
  </si>
  <si>
    <t>CUST2720</t>
  </si>
  <si>
    <t>Sum of Sales</t>
  </si>
  <si>
    <t>Row Labels</t>
  </si>
  <si>
    <t>Grand Total</t>
  </si>
  <si>
    <t>Count of Order_ID</t>
  </si>
  <si>
    <t>Sum of Quantity</t>
  </si>
  <si>
    <t>Sum of Profit</t>
  </si>
  <si>
    <t>Average of Sales</t>
  </si>
  <si>
    <t>Jan</t>
  </si>
  <si>
    <t>Feb</t>
  </si>
  <si>
    <t>Mar</t>
  </si>
  <si>
    <t>Apr</t>
  </si>
  <si>
    <t>May</t>
  </si>
  <si>
    <t>Jun</t>
  </si>
  <si>
    <t>Jul</t>
  </si>
  <si>
    <t>Aug</t>
  </si>
  <si>
    <t>Sep</t>
  </si>
  <si>
    <t>Oct</t>
  </si>
  <si>
    <t>Nov</t>
  </si>
  <si>
    <t>Dec</t>
  </si>
  <si>
    <t>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</si>
</sst>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 [$₹-4009]\ * #,##0.00_ ;_ [$₹-4009]\ * \-#,##0.00_ ;_ [$₹-4009]\ * &quot;-&quot;??_ ;_ @_ "/>
    <numFmt numFmtId="165" formatCode="_ [$₹-4009]\ * #,##0_ ;_ [$₹-4009]\ * \-#,##0_ ;_ [$₹-4009]\ * &quot;-&quot;??_ ;_ @_ "/>
    <numFmt numFmtId="166" formatCode="_ &quot;₹&quot;\ * #,##0_ ;_ &quot;₹&quot;\ * \-#,##0_ ;_ &quot;₹&quot;\ * &quot;-&quot;??_ ;_ @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4" fontId="0" fillId="0" borderId="0" xfId="1" applyNumberFormat="1" applyFont="1"/>
    <xf numFmtId="166" fontId="0" fillId="0" borderId="0" xfId="1" applyNumberFormat="1" applyFont="1"/>
    <xf numFmtId="0" fontId="0" fillId="0" borderId="0" xfId="0" applyNumberFormat="1"/>
  </cellXfs>
  <cellStyles count="2">
    <cellStyle name="Currency" xfId="1" builtinId="4"/>
    <cellStyle name="Normal" xfId="0" builtinId="0"/>
  </cellStyles>
  <dxfs count="29">
    <dxf>
      <numFmt numFmtId="1" formatCode="0"/>
    </dxf>
    <dxf>
      <numFmt numFmtId="1" formatCode="0"/>
    </dxf>
    <dxf>
      <numFmt numFmtId="164" formatCode="_ [$₹-4009]\ * #,##0.00_ ;_ [$₹-4009]\ * \-#,##0.00_ ;_ [$₹-4009]\ * &quot;-&quot;??_ ;_ @_ "/>
    </dxf>
    <dxf>
      <numFmt numFmtId="1" formatCode="0"/>
    </dxf>
    <dxf>
      <numFmt numFmtId="1" formatCode="0"/>
    </dxf>
    <dxf>
      <numFmt numFmtId="164" formatCode="_ [$₹-4009]\ * #,##0.00_ ;_ [$₹-4009]\ * \-#,##0.00_ ;_ [$₹-4009]\ * &quot;-&quot;??_ ;_ @_ "/>
    </dxf>
    <dxf>
      <numFmt numFmtId="1" formatCode="0"/>
    </dxf>
    <dxf>
      <numFmt numFmtId="1" formatCode="0"/>
    </dxf>
    <dxf>
      <numFmt numFmtId="164" formatCode="_ [$₹-4009]\ * #,##0.00_ ;_ [$₹-4009]\ * \-#,##0.00_ ;_ [$₹-4009]\ * &quot;-&quot;??_ ;_ @_ "/>
    </dxf>
    <dxf>
      <numFmt numFmtId="1" formatCode="0"/>
    </dxf>
    <dxf>
      <numFmt numFmtId="1" formatCode="0"/>
    </dxf>
    <dxf>
      <numFmt numFmtId="164"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 formatCode="0"/>
    </dxf>
    <dxf>
      <numFmt numFmtId="164" formatCode="_ [$₹-4009]\ * #,##0.00_ ;_ [$₹-4009]\ * \-#,##0.00_ ;_ [$₹-4009]\ * &quot;-&quot;??_ ;_ @_ "/>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[RIDEZON PROJECT in excel.xlsx]Sheet2!PivotTable7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Salse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Sheet2!$B$10:$B$22</c:f>
              <c:numCache>
                <c:formatCode>General</c:formatCode>
                <c:ptCount val="12"/>
                <c:pt idx="0">
                  <c:v>11915800</c:v>
                </c:pt>
                <c:pt idx="1">
                  <c:v>13743770</c:v>
                </c:pt>
                <c:pt idx="2">
                  <c:v>12864010</c:v>
                </c:pt>
                <c:pt idx="3">
                  <c:v>11596420</c:v>
                </c:pt>
                <c:pt idx="4">
                  <c:v>9738040</c:v>
                </c:pt>
                <c:pt idx="5">
                  <c:v>9250730</c:v>
                </c:pt>
                <c:pt idx="6">
                  <c:v>11897340</c:v>
                </c:pt>
                <c:pt idx="7">
                  <c:v>9354980</c:v>
                </c:pt>
                <c:pt idx="8">
                  <c:v>7801450</c:v>
                </c:pt>
                <c:pt idx="9">
                  <c:v>6117910</c:v>
                </c:pt>
                <c:pt idx="10">
                  <c:v>5216010</c:v>
                </c:pt>
                <c:pt idx="11">
                  <c:v>5935430</c:v>
                </c:pt>
              </c:numCache>
            </c:numRef>
          </c:val>
          <c:smooth val="0"/>
          <c:extLst>
            <c:ext xmlns:c16="http://schemas.microsoft.com/office/drawing/2014/chart" uri="{C3380CC4-5D6E-409C-BE32-E72D297353CC}">
              <c16:uniqueId val="{00000000-51F8-428A-BB98-F47798B416D9}"/>
            </c:ext>
          </c:extLst>
        </c:ser>
        <c:dLbls>
          <c:showLegendKey val="0"/>
          <c:showVal val="0"/>
          <c:showCatName val="0"/>
          <c:showSerName val="0"/>
          <c:showPercent val="0"/>
          <c:showBubbleSize val="0"/>
        </c:dLbls>
        <c:marker val="1"/>
        <c:smooth val="0"/>
        <c:axId val="1696445919"/>
        <c:axId val="1324857423"/>
      </c:lineChart>
      <c:catAx>
        <c:axId val="169644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857423"/>
        <c:crosses val="autoZero"/>
        <c:auto val="1"/>
        <c:lblAlgn val="ctr"/>
        <c:lblOffset val="100"/>
        <c:noMultiLvlLbl val="0"/>
      </c:catAx>
      <c:valAx>
        <c:axId val="132485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459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Model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Sheet2!$E$9</c:f>
              <c:strCache>
                <c:ptCount val="1"/>
                <c:pt idx="0">
                  <c:v>Total</c:v>
                </c:pt>
              </c:strCache>
            </c:strRef>
          </c:tx>
          <c:spPr>
            <a:solidFill>
              <a:schemeClr val="accent2"/>
            </a:solidFill>
            <a:ln>
              <a:noFill/>
            </a:ln>
            <a:effectLst/>
            <a:sp3d/>
          </c:spPr>
          <c:invertIfNegative val="0"/>
          <c:cat>
            <c:strRef>
              <c:f>Sheet2!$D$10:$D$24</c:f>
              <c:strCache>
                <c:ptCount val="14"/>
                <c:pt idx="0">
                  <c:v>Yamaha MT-15</c:v>
                </c:pt>
                <c:pt idx="1">
                  <c:v>Yamaha MT15</c:v>
                </c:pt>
                <c:pt idx="2">
                  <c:v>Yamaha FZ-S</c:v>
                </c:pt>
                <c:pt idx="3">
                  <c:v>TVS Raider 125</c:v>
                </c:pt>
                <c:pt idx="4">
                  <c:v>TVS Apache RTR 160</c:v>
                </c:pt>
                <c:pt idx="5">
                  <c:v>Royal Enfield Hunter 350</c:v>
                </c:pt>
                <c:pt idx="6">
                  <c:v>Royal Enfield Classic 350 </c:v>
                </c:pt>
                <c:pt idx="7">
                  <c:v>Royal Enfield Classic 350</c:v>
                </c:pt>
                <c:pt idx="8">
                  <c:v>Honda SP 125</c:v>
                </c:pt>
                <c:pt idx="9">
                  <c:v>Honda Shine 125 </c:v>
                </c:pt>
                <c:pt idx="10">
                  <c:v>Honda Shine 125</c:v>
                </c:pt>
                <c:pt idx="11">
                  <c:v>Bajaj Pulsar 150</c:v>
                </c:pt>
                <c:pt idx="12">
                  <c:v>Bajaj Dominar 400</c:v>
                </c:pt>
                <c:pt idx="13">
                  <c:v> TVS Raider 125</c:v>
                </c:pt>
              </c:strCache>
            </c:strRef>
          </c:cat>
          <c:val>
            <c:numRef>
              <c:f>Sheet2!$E$10:$E$24</c:f>
              <c:numCache>
                <c:formatCode>General</c:formatCode>
                <c:ptCount val="14"/>
                <c:pt idx="0">
                  <c:v>12568630</c:v>
                </c:pt>
                <c:pt idx="1">
                  <c:v>1000910</c:v>
                </c:pt>
                <c:pt idx="2">
                  <c:v>11876270</c:v>
                </c:pt>
                <c:pt idx="3">
                  <c:v>7622080</c:v>
                </c:pt>
                <c:pt idx="4">
                  <c:v>9592870</c:v>
                </c:pt>
                <c:pt idx="5">
                  <c:v>13726460</c:v>
                </c:pt>
                <c:pt idx="6">
                  <c:v>424600</c:v>
                </c:pt>
                <c:pt idx="7">
                  <c:v>15020530</c:v>
                </c:pt>
                <c:pt idx="8">
                  <c:v>8231540</c:v>
                </c:pt>
                <c:pt idx="9">
                  <c:v>299550</c:v>
                </c:pt>
                <c:pt idx="10">
                  <c:v>5825980</c:v>
                </c:pt>
                <c:pt idx="11">
                  <c:v>9991790</c:v>
                </c:pt>
                <c:pt idx="12">
                  <c:v>17858350</c:v>
                </c:pt>
                <c:pt idx="13">
                  <c:v>1392330</c:v>
                </c:pt>
              </c:numCache>
            </c:numRef>
          </c:val>
          <c:extLst>
            <c:ext xmlns:c16="http://schemas.microsoft.com/office/drawing/2014/chart" uri="{C3380CC4-5D6E-409C-BE32-E72D297353CC}">
              <c16:uniqueId val="{00000000-EAF5-4075-8791-6197FA1EB564}"/>
            </c:ext>
          </c:extLst>
        </c:ser>
        <c:dLbls>
          <c:showLegendKey val="0"/>
          <c:showVal val="0"/>
          <c:showCatName val="0"/>
          <c:showSerName val="0"/>
          <c:showPercent val="0"/>
          <c:showBubbleSize val="0"/>
        </c:dLbls>
        <c:gapWidth val="150"/>
        <c:shape val="box"/>
        <c:axId val="1700650431"/>
        <c:axId val="1740439343"/>
        <c:axId val="0"/>
      </c:bar3DChart>
      <c:catAx>
        <c:axId val="1700650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9343"/>
        <c:crosses val="autoZero"/>
        <c:auto val="1"/>
        <c:lblAlgn val="ctr"/>
        <c:lblOffset val="100"/>
        <c:noMultiLvlLbl val="0"/>
      </c:catAx>
      <c:valAx>
        <c:axId val="174043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65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excel.xlsx]Sheet2!PivotTable9</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City Wise Quentity Salse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Sheet2!$H$9</c:f>
              <c:strCache>
                <c:ptCount val="1"/>
                <c:pt idx="0">
                  <c:v>Total</c:v>
                </c:pt>
              </c:strCache>
            </c:strRef>
          </c:tx>
          <c:spPr>
            <a:solidFill>
              <a:schemeClr val="accent2"/>
            </a:solidFill>
            <a:ln>
              <a:noFill/>
            </a:ln>
            <a:effectLst/>
            <a:sp3d/>
          </c:spPr>
          <c:invertIfNegative val="0"/>
          <c:cat>
            <c:strRef>
              <c:f>Sheet2!$G$10:$G$26</c:f>
              <c:strCache>
                <c:ptCount val="16"/>
                <c:pt idx="0">
                  <c:v>Chennai</c:v>
                </c:pt>
                <c:pt idx="1">
                  <c:v>Chennai </c:v>
                </c:pt>
                <c:pt idx="2">
                  <c:v>Coimbatore</c:v>
                </c:pt>
                <c:pt idx="3">
                  <c:v>Coimbatore </c:v>
                </c:pt>
                <c:pt idx="4">
                  <c:v>Dindigul</c:v>
                </c:pt>
                <c:pt idx="5">
                  <c:v>Dindigul </c:v>
                </c:pt>
                <c:pt idx="6">
                  <c:v>Erode</c:v>
                </c:pt>
                <c:pt idx="7">
                  <c:v>Erode </c:v>
                </c:pt>
                <c:pt idx="8">
                  <c:v>Madurai</c:v>
                </c:pt>
                <c:pt idx="9">
                  <c:v>Madurai </c:v>
                </c:pt>
                <c:pt idx="10">
                  <c:v>Salem</c:v>
                </c:pt>
                <c:pt idx="11">
                  <c:v>Salem </c:v>
                </c:pt>
                <c:pt idx="12">
                  <c:v>Tiruppur</c:v>
                </c:pt>
                <c:pt idx="13">
                  <c:v>Tiruppur </c:v>
                </c:pt>
                <c:pt idx="14">
                  <c:v>Trichy</c:v>
                </c:pt>
                <c:pt idx="15">
                  <c:v>Trichy </c:v>
                </c:pt>
              </c:strCache>
            </c:strRef>
          </c:cat>
          <c:val>
            <c:numRef>
              <c:f>Sheet2!$H$10:$H$26</c:f>
              <c:numCache>
                <c:formatCode>General</c:formatCode>
                <c:ptCount val="16"/>
                <c:pt idx="0">
                  <c:v>73</c:v>
                </c:pt>
                <c:pt idx="1">
                  <c:v>7</c:v>
                </c:pt>
                <c:pt idx="2">
                  <c:v>97</c:v>
                </c:pt>
                <c:pt idx="3">
                  <c:v>6</c:v>
                </c:pt>
                <c:pt idx="4">
                  <c:v>114</c:v>
                </c:pt>
                <c:pt idx="5">
                  <c:v>3</c:v>
                </c:pt>
                <c:pt idx="6">
                  <c:v>100</c:v>
                </c:pt>
                <c:pt idx="7">
                  <c:v>1</c:v>
                </c:pt>
                <c:pt idx="8">
                  <c:v>112</c:v>
                </c:pt>
                <c:pt idx="9">
                  <c:v>4</c:v>
                </c:pt>
                <c:pt idx="10">
                  <c:v>105</c:v>
                </c:pt>
                <c:pt idx="11">
                  <c:v>4</c:v>
                </c:pt>
                <c:pt idx="12">
                  <c:v>99</c:v>
                </c:pt>
                <c:pt idx="13">
                  <c:v>5</c:v>
                </c:pt>
                <c:pt idx="14">
                  <c:v>107</c:v>
                </c:pt>
                <c:pt idx="15">
                  <c:v>1</c:v>
                </c:pt>
              </c:numCache>
            </c:numRef>
          </c:val>
          <c:extLst>
            <c:ext xmlns:c16="http://schemas.microsoft.com/office/drawing/2014/chart" uri="{C3380CC4-5D6E-409C-BE32-E72D297353CC}">
              <c16:uniqueId val="{00000000-D035-4058-A5F2-1F9209FA45C1}"/>
            </c:ext>
          </c:extLst>
        </c:ser>
        <c:dLbls>
          <c:showLegendKey val="0"/>
          <c:showVal val="0"/>
          <c:showCatName val="0"/>
          <c:showSerName val="0"/>
          <c:showPercent val="0"/>
          <c:showBubbleSize val="0"/>
        </c:dLbls>
        <c:gapWidth val="150"/>
        <c:shape val="box"/>
        <c:axId val="1735175951"/>
        <c:axId val="1740459983"/>
        <c:axId val="0"/>
      </c:bar3DChart>
      <c:catAx>
        <c:axId val="1735175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40459983"/>
        <c:crosses val="autoZero"/>
        <c:auto val="1"/>
        <c:lblAlgn val="ctr"/>
        <c:lblOffset val="100"/>
        <c:noMultiLvlLbl val="0"/>
      </c:catAx>
      <c:valAx>
        <c:axId val="17404599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7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Salse Person Wise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Sheet2!$H$30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Sheet2!$G$31:$G$37</c:f>
              <c:strCache>
                <c:ptCount val="6"/>
                <c:pt idx="0">
                  <c:v>Arun</c:v>
                </c:pt>
                <c:pt idx="1">
                  <c:v>Divya</c:v>
                </c:pt>
                <c:pt idx="2">
                  <c:v>Karthik</c:v>
                </c:pt>
                <c:pt idx="3">
                  <c:v>Priya</c:v>
                </c:pt>
                <c:pt idx="4">
                  <c:v>Rahul</c:v>
                </c:pt>
                <c:pt idx="5">
                  <c:v>Suresh</c:v>
                </c:pt>
              </c:strCache>
            </c:strRef>
          </c:cat>
          <c:val>
            <c:numRef>
              <c:f>Sheet2!$H$31:$H$37</c:f>
              <c:numCache>
                <c:formatCode>General</c:formatCode>
                <c:ptCount val="6"/>
                <c:pt idx="0">
                  <c:v>2494755.330000001</c:v>
                </c:pt>
                <c:pt idx="1">
                  <c:v>2262032.0500000003</c:v>
                </c:pt>
                <c:pt idx="2">
                  <c:v>2517908.669999999</c:v>
                </c:pt>
                <c:pt idx="3">
                  <c:v>2324104.2600000007</c:v>
                </c:pt>
                <c:pt idx="4">
                  <c:v>2257295.84</c:v>
                </c:pt>
                <c:pt idx="5">
                  <c:v>2200602.79</c:v>
                </c:pt>
              </c:numCache>
            </c:numRef>
          </c:val>
          <c:extLst>
            <c:ext xmlns:c16="http://schemas.microsoft.com/office/drawing/2014/chart" uri="{C3380CC4-5D6E-409C-BE32-E72D297353CC}">
              <c16:uniqueId val="{00000000-D8DD-4A12-A4BB-8E888A05C0B9}"/>
            </c:ext>
          </c:extLst>
        </c:ser>
        <c:dLbls>
          <c:showLegendKey val="0"/>
          <c:showVal val="0"/>
          <c:showCatName val="0"/>
          <c:showSerName val="0"/>
          <c:showPercent val="0"/>
          <c:showBubbleSize val="0"/>
        </c:dLbls>
        <c:gapWidth val="150"/>
        <c:overlap val="100"/>
        <c:axId val="1735186623"/>
        <c:axId val="1880833615"/>
      </c:barChart>
      <c:catAx>
        <c:axId val="173518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33615"/>
        <c:crosses val="autoZero"/>
        <c:auto val="1"/>
        <c:lblAlgn val="ctr"/>
        <c:lblOffset val="100"/>
        <c:noMultiLvlLbl val="0"/>
      </c:catAx>
      <c:valAx>
        <c:axId val="188083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Catigery</a:t>
            </a:r>
            <a:r>
              <a:rPr lang="en-US" baseline="0"/>
              <a:t> Wise Salse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58000"/>
            </a:schemeClr>
          </a:solidFill>
          <a:ln w="25400">
            <a:solidFill>
              <a:schemeClr val="lt1"/>
            </a:solidFill>
          </a:ln>
          <a:effectLst/>
          <a:sp3d contourW="25400">
            <a:contourClr>
              <a:schemeClr val="lt1"/>
            </a:contourClr>
          </a:sp3d>
        </c:spPr>
      </c:pivotFmt>
      <c:pivotFmt>
        <c:idx val="2"/>
        <c:spPr>
          <a:solidFill>
            <a:schemeClr val="accent2">
              <a:shade val="86000"/>
            </a:schemeClr>
          </a:solidFill>
          <a:ln w="25400">
            <a:solidFill>
              <a:schemeClr val="lt1"/>
            </a:solidFill>
          </a:ln>
          <a:effectLst/>
          <a:sp3d contourW="25400">
            <a:contourClr>
              <a:schemeClr val="lt1"/>
            </a:contourClr>
          </a:sp3d>
        </c:spPr>
      </c:pivotFmt>
      <c:pivotFmt>
        <c:idx val="3"/>
        <c:spPr>
          <a:solidFill>
            <a:schemeClr val="accent2">
              <a:tint val="86000"/>
            </a:schemeClr>
          </a:solidFill>
          <a:ln w="25400">
            <a:solidFill>
              <a:schemeClr val="lt1"/>
            </a:solidFill>
          </a:ln>
          <a:effectLst/>
          <a:sp3d contourW="25400">
            <a:contourClr>
              <a:schemeClr val="lt1"/>
            </a:contourClr>
          </a:sp3d>
        </c:spPr>
      </c:pivotFmt>
      <c:pivotFmt>
        <c:idx val="4"/>
        <c:spPr>
          <a:solidFill>
            <a:schemeClr val="accent2">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Sheet2!$B$29</c:f>
              <c:strCache>
                <c:ptCount val="1"/>
                <c:pt idx="0">
                  <c:v>Total</c:v>
                </c:pt>
              </c:strCache>
            </c:strRef>
          </c:tx>
          <c:dPt>
            <c:idx val="0"/>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FD-435A-B274-425728EDA05D}"/>
              </c:ext>
            </c:extLst>
          </c:dPt>
          <c:dPt>
            <c:idx val="1"/>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FD-435A-B274-425728EDA05D}"/>
              </c:ext>
            </c:extLst>
          </c:dPt>
          <c:dPt>
            <c:idx val="2"/>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FD-435A-B274-425728EDA05D}"/>
              </c:ext>
            </c:extLst>
          </c:dPt>
          <c:dPt>
            <c:idx val="3"/>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FD-435A-B274-425728EDA05D}"/>
              </c:ext>
            </c:extLst>
          </c:dPt>
          <c:cat>
            <c:strRef>
              <c:f>Sheet2!$A$30:$A$34</c:f>
              <c:strCache>
                <c:ptCount val="4"/>
                <c:pt idx="0">
                  <c:v>Commuter</c:v>
                </c:pt>
                <c:pt idx="1">
                  <c:v>Cruiser</c:v>
                </c:pt>
                <c:pt idx="2">
                  <c:v>Premium</c:v>
                </c:pt>
                <c:pt idx="3">
                  <c:v>Sports</c:v>
                </c:pt>
              </c:strCache>
            </c:strRef>
          </c:cat>
          <c:val>
            <c:numRef>
              <c:f>Sheet2!$B$30:$B$34</c:f>
              <c:numCache>
                <c:formatCode>General</c:formatCode>
                <c:ptCount val="4"/>
                <c:pt idx="0">
                  <c:v>30327970</c:v>
                </c:pt>
                <c:pt idx="1">
                  <c:v>25565930</c:v>
                </c:pt>
                <c:pt idx="2">
                  <c:v>32288460</c:v>
                </c:pt>
                <c:pt idx="3">
                  <c:v>27249530</c:v>
                </c:pt>
              </c:numCache>
            </c:numRef>
          </c:val>
          <c:extLst>
            <c:ext xmlns:c16="http://schemas.microsoft.com/office/drawing/2014/chart" uri="{C3380CC4-5D6E-409C-BE32-E72D297353CC}">
              <c16:uniqueId val="{00000000-A543-4640-B511-29A0C2F8941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Mode Wise Salse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72000"/>
                  <a:satMod val="103000"/>
                  <a:lumMod val="102000"/>
                  <a:tint val="94000"/>
                </a:schemeClr>
              </a:gs>
              <a:gs pos="50000">
                <a:schemeClr val="accent2">
                  <a:tint val="72000"/>
                  <a:satMod val="110000"/>
                  <a:lumMod val="100000"/>
                  <a:shade val="100000"/>
                </a:schemeClr>
              </a:gs>
              <a:gs pos="100000">
                <a:schemeClr val="accent2">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Sheet2!$E$30</c:f>
              <c:strCache>
                <c:ptCount val="1"/>
                <c:pt idx="0">
                  <c:v>Total</c:v>
                </c:pt>
              </c:strCache>
            </c:strRef>
          </c:tx>
          <c:dPt>
            <c:idx val="0"/>
            <c:bubble3D val="0"/>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42-4ACA-AC18-27000EE47FA5}"/>
              </c:ext>
            </c:extLst>
          </c:dPt>
          <c:dPt>
            <c:idx val="1"/>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42-4ACA-AC18-27000EE47FA5}"/>
              </c:ext>
            </c:extLst>
          </c:dPt>
          <c:dPt>
            <c:idx val="2"/>
            <c:bubble3D val="0"/>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42-4ACA-AC18-27000EE47FA5}"/>
              </c:ext>
            </c:extLst>
          </c:dPt>
          <c:dPt>
            <c:idx val="3"/>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E42-4ACA-AC18-27000EE47FA5}"/>
              </c:ext>
            </c:extLst>
          </c:dPt>
          <c:dPt>
            <c:idx val="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E42-4ACA-AC18-27000EE47FA5}"/>
              </c:ext>
            </c:extLst>
          </c:dPt>
          <c:dPt>
            <c:idx val="5"/>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E42-4ACA-AC18-27000EE47FA5}"/>
              </c:ext>
            </c:extLst>
          </c:dPt>
          <c:dPt>
            <c:idx val="6"/>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E42-4ACA-AC18-27000EE47FA5}"/>
              </c:ext>
            </c:extLst>
          </c:dPt>
          <c:dPt>
            <c:idx val="7"/>
            <c:bubble3D val="0"/>
            <c:spPr>
              <a:gradFill rotWithShape="1">
                <a:gsLst>
                  <a:gs pos="0">
                    <a:schemeClr val="accent2">
                      <a:tint val="72000"/>
                      <a:satMod val="103000"/>
                      <a:lumMod val="102000"/>
                      <a:tint val="94000"/>
                    </a:schemeClr>
                  </a:gs>
                  <a:gs pos="50000">
                    <a:schemeClr val="accent2">
                      <a:tint val="72000"/>
                      <a:satMod val="110000"/>
                      <a:lumMod val="100000"/>
                      <a:shade val="100000"/>
                    </a:schemeClr>
                  </a:gs>
                  <a:gs pos="100000">
                    <a:schemeClr val="accent2">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E42-4ACA-AC18-27000EE47FA5}"/>
              </c:ext>
            </c:extLst>
          </c:dPt>
          <c:dPt>
            <c:idx val="8"/>
            <c:bubble3D val="0"/>
            <c:spPr>
              <a:gradFill rotWithShape="1">
                <a:gsLst>
                  <a:gs pos="0">
                    <a:schemeClr val="accent2">
                      <a:tint val="44000"/>
                      <a:satMod val="103000"/>
                      <a:lumMod val="102000"/>
                      <a:tint val="94000"/>
                    </a:schemeClr>
                  </a:gs>
                  <a:gs pos="50000">
                    <a:schemeClr val="accent2">
                      <a:tint val="44000"/>
                      <a:satMod val="110000"/>
                      <a:lumMod val="100000"/>
                      <a:shade val="100000"/>
                    </a:schemeClr>
                  </a:gs>
                  <a:gs pos="100000">
                    <a:schemeClr val="accent2">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E42-4ACA-AC18-27000EE47FA5}"/>
              </c:ext>
            </c:extLst>
          </c:dPt>
          <c:dPt>
            <c:idx val="9"/>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E42-4ACA-AC18-27000EE47FA5}"/>
              </c:ext>
            </c:extLst>
          </c:dPt>
          <c:cat>
            <c:strRef>
              <c:f>Sheet2!$D$31:$D$40</c:f>
              <c:strCache>
                <c:ptCount val="9"/>
                <c:pt idx="0">
                  <c:v> UPI</c:v>
                </c:pt>
                <c:pt idx="1">
                  <c:v>0</c:v>
                </c:pt>
                <c:pt idx="2">
                  <c:v>Card</c:v>
                </c:pt>
                <c:pt idx="3">
                  <c:v>Card </c:v>
                </c:pt>
                <c:pt idx="4">
                  <c:v>cash</c:v>
                </c:pt>
                <c:pt idx="5">
                  <c:v>Cash </c:v>
                </c:pt>
                <c:pt idx="6">
                  <c:v>Finance</c:v>
                </c:pt>
                <c:pt idx="7">
                  <c:v>UPI</c:v>
                </c:pt>
                <c:pt idx="8">
                  <c:v>UPI </c:v>
                </c:pt>
              </c:strCache>
            </c:strRef>
          </c:cat>
          <c:val>
            <c:numRef>
              <c:f>Sheet2!$E$31:$E$40</c:f>
              <c:numCache>
                <c:formatCode>General</c:formatCode>
                <c:ptCount val="9"/>
                <c:pt idx="0">
                  <c:v>15136080</c:v>
                </c:pt>
                <c:pt idx="1">
                  <c:v>5378590</c:v>
                </c:pt>
                <c:pt idx="2">
                  <c:v>13483720</c:v>
                </c:pt>
                <c:pt idx="3">
                  <c:v>11770910</c:v>
                </c:pt>
                <c:pt idx="4">
                  <c:v>26895360</c:v>
                </c:pt>
                <c:pt idx="5">
                  <c:v>816690</c:v>
                </c:pt>
                <c:pt idx="6">
                  <c:v>14103140</c:v>
                </c:pt>
                <c:pt idx="7">
                  <c:v>26831610</c:v>
                </c:pt>
                <c:pt idx="8">
                  <c:v>1015790</c:v>
                </c:pt>
              </c:numCache>
            </c:numRef>
          </c:val>
          <c:extLst>
            <c:ext xmlns:c16="http://schemas.microsoft.com/office/drawing/2014/chart" uri="{C3380CC4-5D6E-409C-BE32-E72D297353CC}">
              <c16:uniqueId val="{00000000-DFC4-4F6D-84A0-490474F9205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excel.xlsx]Sheet2!PivotTable7</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 Salse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Sheet2!$B$9</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Sheet2!$A$10:$A$22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Sheet2!$B$10:$B$22</c:f>
              <c:numCache>
                <c:formatCode>General</c:formatCode>
                <c:ptCount val="12"/>
                <c:pt idx="0">
                  <c:v>11915800</c:v>
                </c:pt>
                <c:pt idx="1">
                  <c:v>13743770</c:v>
                </c:pt>
                <c:pt idx="2">
                  <c:v>12864010</c:v>
                </c:pt>
                <c:pt idx="3">
                  <c:v>11596420</c:v>
                </c:pt>
                <c:pt idx="4">
                  <c:v>9738040</c:v>
                </c:pt>
                <c:pt idx="5">
                  <c:v>9250730</c:v>
                </c:pt>
                <c:pt idx="6">
                  <c:v>11897340</c:v>
                </c:pt>
                <c:pt idx="7">
                  <c:v>9354980</c:v>
                </c:pt>
                <c:pt idx="8">
                  <c:v>7801450</c:v>
                </c:pt>
                <c:pt idx="9">
                  <c:v>6117910</c:v>
                </c:pt>
                <c:pt idx="10">
                  <c:v>5216010</c:v>
                </c:pt>
                <c:pt idx="11">
                  <c:v>5935430</c:v>
                </c:pt>
              </c:numCache>
            </c:numRef>
          </c:val>
          <c:smooth val="0"/>
          <c:extLst>
            <c:ext xmlns:c16="http://schemas.microsoft.com/office/drawing/2014/chart" uri="{C3380CC4-5D6E-409C-BE32-E72D297353CC}">
              <c16:uniqueId val="{00000000-6173-4847-8F37-4D7DD6F65B3A}"/>
            </c:ext>
          </c:extLst>
        </c:ser>
        <c:dLbls>
          <c:showLegendKey val="0"/>
          <c:showVal val="0"/>
          <c:showCatName val="0"/>
          <c:showSerName val="0"/>
          <c:showPercent val="0"/>
          <c:showBubbleSize val="0"/>
        </c:dLbls>
        <c:marker val="1"/>
        <c:smooth val="0"/>
        <c:axId val="1696445919"/>
        <c:axId val="1324857423"/>
      </c:lineChart>
      <c:catAx>
        <c:axId val="169644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24857423"/>
        <c:crosses val="autoZero"/>
        <c:auto val="1"/>
        <c:lblAlgn val="ctr"/>
        <c:lblOffset val="100"/>
        <c:noMultiLvlLbl val="0"/>
      </c:catAx>
      <c:valAx>
        <c:axId val="132485742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459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excel.xlsx]Sheet2!PivotTable3</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Salse Person Wise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5870516185477"/>
          <c:y val="0.2061807378244386"/>
          <c:w val="0.8396412948381452"/>
          <c:h val="0.70993839311752693"/>
        </c:manualLayout>
      </c:layout>
      <c:barChart>
        <c:barDir val="col"/>
        <c:grouping val="stacked"/>
        <c:varyColors val="0"/>
        <c:ser>
          <c:idx val="0"/>
          <c:order val="0"/>
          <c:tx>
            <c:strRef>
              <c:f>Sheet2!$H$30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Sheet2!$G$31:$G$37</c:f>
              <c:strCache>
                <c:ptCount val="6"/>
                <c:pt idx="0">
                  <c:v>Arun</c:v>
                </c:pt>
                <c:pt idx="1">
                  <c:v>Divya</c:v>
                </c:pt>
                <c:pt idx="2">
                  <c:v>Karthik</c:v>
                </c:pt>
                <c:pt idx="3">
                  <c:v>Priya</c:v>
                </c:pt>
                <c:pt idx="4">
                  <c:v>Rahul</c:v>
                </c:pt>
                <c:pt idx="5">
                  <c:v>Suresh</c:v>
                </c:pt>
              </c:strCache>
            </c:strRef>
          </c:cat>
          <c:val>
            <c:numRef>
              <c:f>Sheet2!$H$31:$H$37</c:f>
              <c:numCache>
                <c:formatCode>General</c:formatCode>
                <c:ptCount val="6"/>
                <c:pt idx="0">
                  <c:v>2494755.330000001</c:v>
                </c:pt>
                <c:pt idx="1">
                  <c:v>2262032.0500000003</c:v>
                </c:pt>
                <c:pt idx="2">
                  <c:v>2517908.669999999</c:v>
                </c:pt>
                <c:pt idx="3">
                  <c:v>2324104.2600000007</c:v>
                </c:pt>
                <c:pt idx="4">
                  <c:v>2257295.84</c:v>
                </c:pt>
                <c:pt idx="5">
                  <c:v>2200602.79</c:v>
                </c:pt>
              </c:numCache>
            </c:numRef>
          </c:val>
          <c:extLst>
            <c:ext xmlns:c16="http://schemas.microsoft.com/office/drawing/2014/chart" uri="{C3380CC4-5D6E-409C-BE32-E72D297353CC}">
              <c16:uniqueId val="{00000000-551C-4D82-9731-EFD708B2EAD5}"/>
            </c:ext>
          </c:extLst>
        </c:ser>
        <c:dLbls>
          <c:showLegendKey val="0"/>
          <c:showVal val="0"/>
          <c:showCatName val="0"/>
          <c:showSerName val="0"/>
          <c:showPercent val="0"/>
          <c:showBubbleSize val="0"/>
        </c:dLbls>
        <c:gapWidth val="150"/>
        <c:overlap val="100"/>
        <c:axId val="1735186623"/>
        <c:axId val="1880833615"/>
      </c:barChart>
      <c:catAx>
        <c:axId val="173518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33615"/>
        <c:crosses val="autoZero"/>
        <c:auto val="1"/>
        <c:lblAlgn val="ctr"/>
        <c:lblOffset val="100"/>
        <c:noMultiLvlLbl val="0"/>
      </c:catAx>
      <c:valAx>
        <c:axId val="188083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Catigery Wise Salse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Sheet2!$B$29</c:f>
              <c:strCache>
                <c:ptCount val="1"/>
                <c:pt idx="0">
                  <c:v>Total</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BD0-481A-9EEE-698A1F7A3D1D}"/>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BD0-481A-9EEE-698A1F7A3D1D}"/>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BD0-481A-9EEE-698A1F7A3D1D}"/>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BD0-481A-9EEE-698A1F7A3D1D}"/>
              </c:ext>
            </c:extLst>
          </c:dPt>
          <c:cat>
            <c:strRef>
              <c:f>Sheet2!$A$30:$A$34</c:f>
              <c:strCache>
                <c:ptCount val="4"/>
                <c:pt idx="0">
                  <c:v>Commuter</c:v>
                </c:pt>
                <c:pt idx="1">
                  <c:v>Cruiser</c:v>
                </c:pt>
                <c:pt idx="2">
                  <c:v>Premium</c:v>
                </c:pt>
                <c:pt idx="3">
                  <c:v>Sports</c:v>
                </c:pt>
              </c:strCache>
            </c:strRef>
          </c:cat>
          <c:val>
            <c:numRef>
              <c:f>Sheet2!$B$30:$B$34</c:f>
              <c:numCache>
                <c:formatCode>General</c:formatCode>
                <c:ptCount val="4"/>
                <c:pt idx="0">
                  <c:v>30327970</c:v>
                </c:pt>
                <c:pt idx="1">
                  <c:v>25565930</c:v>
                </c:pt>
                <c:pt idx="2">
                  <c:v>32288460</c:v>
                </c:pt>
                <c:pt idx="3">
                  <c:v>27249530</c:v>
                </c:pt>
              </c:numCache>
            </c:numRef>
          </c:val>
          <c:extLst>
            <c:ext xmlns:c16="http://schemas.microsoft.com/office/drawing/2014/chart" uri="{C3380CC4-5D6E-409C-BE32-E72D297353CC}">
              <c16:uniqueId val="{00000008-2BD0-481A-9EEE-698A1F7A3D1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excel.xlsx]Sheet2!PivotTable12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Mode Wise Salse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72000"/>
                  <a:satMod val="103000"/>
                  <a:lumMod val="102000"/>
                  <a:tint val="94000"/>
                </a:schemeClr>
              </a:gs>
              <a:gs pos="50000">
                <a:schemeClr val="accent2">
                  <a:tint val="72000"/>
                  <a:satMod val="110000"/>
                  <a:lumMod val="100000"/>
                  <a:shade val="100000"/>
                </a:schemeClr>
              </a:gs>
              <a:gs pos="100000">
                <a:schemeClr val="accent2">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tint val="44000"/>
                  <a:satMod val="103000"/>
                  <a:lumMod val="102000"/>
                  <a:tint val="94000"/>
                </a:schemeClr>
              </a:gs>
              <a:gs pos="50000">
                <a:schemeClr val="accent2">
                  <a:tint val="44000"/>
                  <a:satMod val="110000"/>
                  <a:lumMod val="100000"/>
                  <a:shade val="100000"/>
                </a:schemeClr>
              </a:gs>
              <a:gs pos="100000">
                <a:schemeClr val="accent2">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tint val="72000"/>
                  <a:satMod val="103000"/>
                  <a:lumMod val="102000"/>
                  <a:tint val="94000"/>
                </a:schemeClr>
              </a:gs>
              <a:gs pos="50000">
                <a:schemeClr val="accent2">
                  <a:tint val="72000"/>
                  <a:satMod val="110000"/>
                  <a:lumMod val="100000"/>
                  <a:shade val="100000"/>
                </a:schemeClr>
              </a:gs>
              <a:gs pos="100000">
                <a:schemeClr val="accent2">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tint val="44000"/>
                  <a:satMod val="103000"/>
                  <a:lumMod val="102000"/>
                  <a:tint val="94000"/>
                </a:schemeClr>
              </a:gs>
              <a:gs pos="50000">
                <a:schemeClr val="accent2">
                  <a:tint val="44000"/>
                  <a:satMod val="110000"/>
                  <a:lumMod val="100000"/>
                  <a:shade val="100000"/>
                </a:schemeClr>
              </a:gs>
              <a:gs pos="100000">
                <a:schemeClr val="accent2">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Sheet2!$E$30</c:f>
              <c:strCache>
                <c:ptCount val="1"/>
                <c:pt idx="0">
                  <c:v>Total</c:v>
                </c:pt>
              </c:strCache>
            </c:strRef>
          </c:tx>
          <c:dPt>
            <c:idx val="0"/>
            <c:bubble3D val="0"/>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57-4271-8C31-AAA19F90B08E}"/>
              </c:ext>
            </c:extLst>
          </c:dPt>
          <c:dPt>
            <c:idx val="1"/>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57-4271-8C31-AAA19F90B08E}"/>
              </c:ext>
            </c:extLst>
          </c:dPt>
          <c:dPt>
            <c:idx val="2"/>
            <c:bubble3D val="0"/>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57-4271-8C31-AAA19F90B08E}"/>
              </c:ext>
            </c:extLst>
          </c:dPt>
          <c:dPt>
            <c:idx val="3"/>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57-4271-8C31-AAA19F90B08E}"/>
              </c:ext>
            </c:extLst>
          </c:dPt>
          <c:dPt>
            <c:idx val="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857-4271-8C31-AAA19F90B08E}"/>
              </c:ext>
            </c:extLst>
          </c:dPt>
          <c:dPt>
            <c:idx val="5"/>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857-4271-8C31-AAA19F90B08E}"/>
              </c:ext>
            </c:extLst>
          </c:dPt>
          <c:dPt>
            <c:idx val="6"/>
            <c:bubble3D val="0"/>
            <c:spPr>
              <a:gradFill rotWithShape="1">
                <a:gsLst>
                  <a:gs pos="0">
                    <a:schemeClr val="accent2">
                      <a:tint val="72000"/>
                      <a:satMod val="103000"/>
                      <a:lumMod val="102000"/>
                      <a:tint val="94000"/>
                    </a:schemeClr>
                  </a:gs>
                  <a:gs pos="50000">
                    <a:schemeClr val="accent2">
                      <a:tint val="72000"/>
                      <a:satMod val="110000"/>
                      <a:lumMod val="100000"/>
                      <a:shade val="100000"/>
                    </a:schemeClr>
                  </a:gs>
                  <a:gs pos="100000">
                    <a:schemeClr val="accent2">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857-4271-8C31-AAA19F90B08E}"/>
              </c:ext>
            </c:extLst>
          </c:dPt>
          <c:dPt>
            <c:idx val="7"/>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857-4271-8C31-AAA19F90B08E}"/>
              </c:ext>
            </c:extLst>
          </c:dPt>
          <c:dPt>
            <c:idx val="8"/>
            <c:bubble3D val="0"/>
            <c:spPr>
              <a:gradFill rotWithShape="1">
                <a:gsLst>
                  <a:gs pos="0">
                    <a:schemeClr val="accent2">
                      <a:tint val="44000"/>
                      <a:satMod val="103000"/>
                      <a:lumMod val="102000"/>
                      <a:tint val="94000"/>
                    </a:schemeClr>
                  </a:gs>
                  <a:gs pos="50000">
                    <a:schemeClr val="accent2">
                      <a:tint val="44000"/>
                      <a:satMod val="110000"/>
                      <a:lumMod val="100000"/>
                      <a:shade val="100000"/>
                    </a:schemeClr>
                  </a:gs>
                  <a:gs pos="100000">
                    <a:schemeClr val="accent2">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857-4271-8C31-AAA19F90B08E}"/>
              </c:ext>
            </c:extLst>
          </c:dPt>
          <c:dPt>
            <c:idx val="9"/>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857-4271-8C31-AAA19F90B08E}"/>
              </c:ext>
            </c:extLst>
          </c:dPt>
          <c:cat>
            <c:strRef>
              <c:f>Sheet2!$D$31:$D$40</c:f>
              <c:strCache>
                <c:ptCount val="9"/>
                <c:pt idx="0">
                  <c:v> UPI</c:v>
                </c:pt>
                <c:pt idx="1">
                  <c:v>0</c:v>
                </c:pt>
                <c:pt idx="2">
                  <c:v>Card</c:v>
                </c:pt>
                <c:pt idx="3">
                  <c:v>Card </c:v>
                </c:pt>
                <c:pt idx="4">
                  <c:v>cash</c:v>
                </c:pt>
                <c:pt idx="5">
                  <c:v>Cash </c:v>
                </c:pt>
                <c:pt idx="6">
                  <c:v>Finance</c:v>
                </c:pt>
                <c:pt idx="7">
                  <c:v>UPI</c:v>
                </c:pt>
                <c:pt idx="8">
                  <c:v>UPI </c:v>
                </c:pt>
              </c:strCache>
            </c:strRef>
          </c:cat>
          <c:val>
            <c:numRef>
              <c:f>Sheet2!$E$31:$E$40</c:f>
              <c:numCache>
                <c:formatCode>General</c:formatCode>
                <c:ptCount val="9"/>
                <c:pt idx="0">
                  <c:v>15136080</c:v>
                </c:pt>
                <c:pt idx="1">
                  <c:v>5378590</c:v>
                </c:pt>
                <c:pt idx="2">
                  <c:v>13483720</c:v>
                </c:pt>
                <c:pt idx="3">
                  <c:v>11770910</c:v>
                </c:pt>
                <c:pt idx="4">
                  <c:v>26895360</c:v>
                </c:pt>
                <c:pt idx="5">
                  <c:v>816690</c:v>
                </c:pt>
                <c:pt idx="6">
                  <c:v>14103140</c:v>
                </c:pt>
                <c:pt idx="7">
                  <c:v>26831610</c:v>
                </c:pt>
                <c:pt idx="8">
                  <c:v>1015790</c:v>
                </c:pt>
              </c:numCache>
            </c:numRef>
          </c:val>
          <c:extLst>
            <c:ext xmlns:c16="http://schemas.microsoft.com/office/drawing/2014/chart" uri="{C3380CC4-5D6E-409C-BE32-E72D297353CC}">
              <c16:uniqueId val="{00000014-5857-4271-8C31-AAA19F90B08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excel.xlsx]Sheet2!PivotTable9</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City Wise Quentity Salse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Sheet2!$H$9</c:f>
              <c:strCache>
                <c:ptCount val="1"/>
                <c:pt idx="0">
                  <c:v>Total</c:v>
                </c:pt>
              </c:strCache>
            </c:strRef>
          </c:tx>
          <c:spPr>
            <a:solidFill>
              <a:schemeClr val="accent2"/>
            </a:solidFill>
            <a:ln>
              <a:noFill/>
            </a:ln>
            <a:effectLst/>
            <a:sp3d/>
          </c:spPr>
          <c:invertIfNegative val="0"/>
          <c:cat>
            <c:strRef>
              <c:f>Sheet2!$G$10:$G$26</c:f>
              <c:strCache>
                <c:ptCount val="16"/>
                <c:pt idx="0">
                  <c:v>Chennai</c:v>
                </c:pt>
                <c:pt idx="1">
                  <c:v>Chennai </c:v>
                </c:pt>
                <c:pt idx="2">
                  <c:v>Coimbatore</c:v>
                </c:pt>
                <c:pt idx="3">
                  <c:v>Coimbatore </c:v>
                </c:pt>
                <c:pt idx="4">
                  <c:v>Dindigul</c:v>
                </c:pt>
                <c:pt idx="5">
                  <c:v>Dindigul </c:v>
                </c:pt>
                <c:pt idx="6">
                  <c:v>Erode</c:v>
                </c:pt>
                <c:pt idx="7">
                  <c:v>Erode </c:v>
                </c:pt>
                <c:pt idx="8">
                  <c:v>Madurai</c:v>
                </c:pt>
                <c:pt idx="9">
                  <c:v>Madurai </c:v>
                </c:pt>
                <c:pt idx="10">
                  <c:v>Salem</c:v>
                </c:pt>
                <c:pt idx="11">
                  <c:v>Salem </c:v>
                </c:pt>
                <c:pt idx="12">
                  <c:v>Tiruppur</c:v>
                </c:pt>
                <c:pt idx="13">
                  <c:v>Tiruppur </c:v>
                </c:pt>
                <c:pt idx="14">
                  <c:v>Trichy</c:v>
                </c:pt>
                <c:pt idx="15">
                  <c:v>Trichy </c:v>
                </c:pt>
              </c:strCache>
            </c:strRef>
          </c:cat>
          <c:val>
            <c:numRef>
              <c:f>Sheet2!$H$10:$H$26</c:f>
              <c:numCache>
                <c:formatCode>General</c:formatCode>
                <c:ptCount val="16"/>
                <c:pt idx="0">
                  <c:v>73</c:v>
                </c:pt>
                <c:pt idx="1">
                  <c:v>7</c:v>
                </c:pt>
                <c:pt idx="2">
                  <c:v>97</c:v>
                </c:pt>
                <c:pt idx="3">
                  <c:v>6</c:v>
                </c:pt>
                <c:pt idx="4">
                  <c:v>114</c:v>
                </c:pt>
                <c:pt idx="5">
                  <c:v>3</c:v>
                </c:pt>
                <c:pt idx="6">
                  <c:v>100</c:v>
                </c:pt>
                <c:pt idx="7">
                  <c:v>1</c:v>
                </c:pt>
                <c:pt idx="8">
                  <c:v>112</c:v>
                </c:pt>
                <c:pt idx="9">
                  <c:v>4</c:v>
                </c:pt>
                <c:pt idx="10">
                  <c:v>105</c:v>
                </c:pt>
                <c:pt idx="11">
                  <c:v>4</c:v>
                </c:pt>
                <c:pt idx="12">
                  <c:v>99</c:v>
                </c:pt>
                <c:pt idx="13">
                  <c:v>5</c:v>
                </c:pt>
                <c:pt idx="14">
                  <c:v>107</c:v>
                </c:pt>
                <c:pt idx="15">
                  <c:v>1</c:v>
                </c:pt>
              </c:numCache>
            </c:numRef>
          </c:val>
          <c:extLst>
            <c:ext xmlns:c16="http://schemas.microsoft.com/office/drawing/2014/chart" uri="{C3380CC4-5D6E-409C-BE32-E72D297353CC}">
              <c16:uniqueId val="{00000000-2D22-4DC7-9227-83E782833324}"/>
            </c:ext>
          </c:extLst>
        </c:ser>
        <c:dLbls>
          <c:showLegendKey val="0"/>
          <c:showVal val="0"/>
          <c:showCatName val="0"/>
          <c:showSerName val="0"/>
          <c:showPercent val="0"/>
          <c:showBubbleSize val="0"/>
        </c:dLbls>
        <c:gapWidth val="150"/>
        <c:shape val="box"/>
        <c:axId val="1735175951"/>
        <c:axId val="1740459983"/>
        <c:axId val="0"/>
      </c:bar3DChart>
      <c:catAx>
        <c:axId val="1735175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40459983"/>
        <c:crosses val="autoZero"/>
        <c:auto val="1"/>
        <c:lblAlgn val="ctr"/>
        <c:lblOffset val="100"/>
        <c:noMultiLvlLbl val="0"/>
      </c:catAx>
      <c:valAx>
        <c:axId val="17404599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7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[RIDEZON PROJECT in excel.xlsx]Sheet2!PivotTable8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Model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Sheet2!$E$9</c:f>
              <c:strCache>
                <c:ptCount val="1"/>
                <c:pt idx="0">
                  <c:v>Total</c:v>
                </c:pt>
              </c:strCache>
            </c:strRef>
          </c:tx>
          <c:spPr>
            <a:solidFill>
              <a:schemeClr val="accent2"/>
            </a:solidFill>
            <a:ln>
              <a:noFill/>
            </a:ln>
            <a:effectLst/>
            <a:sp3d/>
          </c:spPr>
          <c:invertIfNegative val="0"/>
          <c:cat>
            <c:strRef>
              <c:f>Sheet2!$D$10:$D$24</c:f>
              <c:strCache>
                <c:ptCount val="14"/>
                <c:pt idx="0">
                  <c:v>Yamaha MT-15</c:v>
                </c:pt>
                <c:pt idx="1">
                  <c:v>Yamaha MT15</c:v>
                </c:pt>
                <c:pt idx="2">
                  <c:v>Yamaha FZ-S</c:v>
                </c:pt>
                <c:pt idx="3">
                  <c:v>TVS Raider 125</c:v>
                </c:pt>
                <c:pt idx="4">
                  <c:v>TVS Apache RTR 160</c:v>
                </c:pt>
                <c:pt idx="5">
                  <c:v>Royal Enfield Hunter 350</c:v>
                </c:pt>
                <c:pt idx="6">
                  <c:v>Royal Enfield Classic 350 </c:v>
                </c:pt>
                <c:pt idx="7">
                  <c:v>Royal Enfield Classic 350</c:v>
                </c:pt>
                <c:pt idx="8">
                  <c:v>Honda SP 125</c:v>
                </c:pt>
                <c:pt idx="9">
                  <c:v>Honda Shine 125 </c:v>
                </c:pt>
                <c:pt idx="10">
                  <c:v>Honda Shine 125</c:v>
                </c:pt>
                <c:pt idx="11">
                  <c:v>Bajaj Pulsar 150</c:v>
                </c:pt>
                <c:pt idx="12">
                  <c:v>Bajaj Dominar 400</c:v>
                </c:pt>
                <c:pt idx="13">
                  <c:v> TVS Raider 125</c:v>
                </c:pt>
              </c:strCache>
            </c:strRef>
          </c:cat>
          <c:val>
            <c:numRef>
              <c:f>Sheet2!$E$10:$E$24</c:f>
              <c:numCache>
                <c:formatCode>General</c:formatCode>
                <c:ptCount val="14"/>
                <c:pt idx="0">
                  <c:v>12568630</c:v>
                </c:pt>
                <c:pt idx="1">
                  <c:v>1000910</c:v>
                </c:pt>
                <c:pt idx="2">
                  <c:v>11876270</c:v>
                </c:pt>
                <c:pt idx="3">
                  <c:v>7622080</c:v>
                </c:pt>
                <c:pt idx="4">
                  <c:v>9592870</c:v>
                </c:pt>
                <c:pt idx="5">
                  <c:v>13726460</c:v>
                </c:pt>
                <c:pt idx="6">
                  <c:v>424600</c:v>
                </c:pt>
                <c:pt idx="7">
                  <c:v>15020530</c:v>
                </c:pt>
                <c:pt idx="8">
                  <c:v>8231540</c:v>
                </c:pt>
                <c:pt idx="9">
                  <c:v>299550</c:v>
                </c:pt>
                <c:pt idx="10">
                  <c:v>5825980</c:v>
                </c:pt>
                <c:pt idx="11">
                  <c:v>9991790</c:v>
                </c:pt>
                <c:pt idx="12">
                  <c:v>17858350</c:v>
                </c:pt>
                <c:pt idx="13">
                  <c:v>1392330</c:v>
                </c:pt>
              </c:numCache>
            </c:numRef>
          </c:val>
          <c:extLst>
            <c:ext xmlns:c16="http://schemas.microsoft.com/office/drawing/2014/chart" uri="{C3380CC4-5D6E-409C-BE32-E72D297353CC}">
              <c16:uniqueId val="{00000000-9B5D-4BD0-9CB6-90290E396869}"/>
            </c:ext>
          </c:extLst>
        </c:ser>
        <c:dLbls>
          <c:showLegendKey val="0"/>
          <c:showVal val="0"/>
          <c:showCatName val="0"/>
          <c:showSerName val="0"/>
          <c:showPercent val="0"/>
          <c:showBubbleSize val="0"/>
        </c:dLbls>
        <c:gapWidth val="150"/>
        <c:shape val="box"/>
        <c:axId val="1700650431"/>
        <c:axId val="1740439343"/>
        <c:axId val="0"/>
      </c:bar3DChart>
      <c:catAx>
        <c:axId val="1700650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9343"/>
        <c:crosses val="autoZero"/>
        <c:auto val="1"/>
        <c:lblAlgn val="ctr"/>
        <c:lblOffset val="100"/>
        <c:noMultiLvlLbl val="0"/>
      </c:catAx>
      <c:valAx>
        <c:axId val="174043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65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422991</xdr:colOff>
      <xdr:row>2</xdr:row>
      <xdr:rowOff>21302</xdr:rowOff>
    </xdr:from>
    <xdr:to>
      <xdr:col>22</xdr:col>
      <xdr:colOff>78862</xdr:colOff>
      <xdr:row>16</xdr:row>
      <xdr:rowOff>40148</xdr:rowOff>
    </xdr:to>
    <xdr:graphicFrame macro="">
      <xdr:nvGraphicFramePr>
        <xdr:cNvPr id="3" name="Chart 2">
          <a:extLst>
            <a:ext uri="{FF2B5EF4-FFF2-40B4-BE49-F238E27FC236}">
              <a16:creationId xmlns:a16="http://schemas.microsoft.com/office/drawing/2014/main" id="{BD4B2039-78B9-5EF5-951D-143639A13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109828</xdr:colOff>
      <xdr:row>7</xdr:row>
      <xdr:rowOff>105747</xdr:rowOff>
    </xdr:from>
    <xdr:to>
      <xdr:col>31</xdr:col>
      <xdr:colOff>395578</xdr:colOff>
      <xdr:row>21</xdr:row>
      <xdr:rowOff>127518</xdr:rowOff>
    </xdr:to>
    <xdr:graphicFrame macro="">
      <xdr:nvGraphicFramePr>
        <xdr:cNvPr id="4" name="Chart 3">
          <a:extLst>
            <a:ext uri="{FF2B5EF4-FFF2-40B4-BE49-F238E27FC236}">
              <a16:creationId xmlns:a16="http://schemas.microsoft.com/office/drawing/2014/main" id="{7BAB2B6B-F2FA-4349-A1B1-396BD3140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432641</xdr:colOff>
      <xdr:row>17</xdr:row>
      <xdr:rowOff>77367</xdr:rowOff>
    </xdr:from>
    <xdr:to>
      <xdr:col>24</xdr:col>
      <xdr:colOff>108791</xdr:colOff>
      <xdr:row>31</xdr:row>
      <xdr:rowOff>99139</xdr:rowOff>
    </xdr:to>
    <xdr:graphicFrame macro="">
      <xdr:nvGraphicFramePr>
        <xdr:cNvPr id="5" name="Chart 4">
          <a:extLst>
            <a:ext uri="{FF2B5EF4-FFF2-40B4-BE49-F238E27FC236}">
              <a16:creationId xmlns:a16="http://schemas.microsoft.com/office/drawing/2014/main" id="{F42A2E8B-72D8-F731-0985-419029E1A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289639</xdr:colOff>
      <xdr:row>21</xdr:row>
      <xdr:rowOff>86305</xdr:rowOff>
    </xdr:from>
    <xdr:to>
      <xdr:col>31</xdr:col>
      <xdr:colOff>575389</xdr:colOff>
      <xdr:row>35</xdr:row>
      <xdr:rowOff>108077</xdr:rowOff>
    </xdr:to>
    <xdr:graphicFrame macro="">
      <xdr:nvGraphicFramePr>
        <xdr:cNvPr id="6" name="Chart 5">
          <a:extLst>
            <a:ext uri="{FF2B5EF4-FFF2-40B4-BE49-F238E27FC236}">
              <a16:creationId xmlns:a16="http://schemas.microsoft.com/office/drawing/2014/main" id="{2B263C15-672A-8329-92B9-89846FDD9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95251</xdr:colOff>
      <xdr:row>18</xdr:row>
      <xdr:rowOff>57149</xdr:rowOff>
    </xdr:from>
    <xdr:to>
      <xdr:col>15</xdr:col>
      <xdr:colOff>546231</xdr:colOff>
      <xdr:row>32</xdr:row>
      <xdr:rowOff>78921</xdr:rowOff>
    </xdr:to>
    <xdr:graphicFrame macro="">
      <xdr:nvGraphicFramePr>
        <xdr:cNvPr id="7" name="Chart 6">
          <a:extLst>
            <a:ext uri="{FF2B5EF4-FFF2-40B4-BE49-F238E27FC236}">
              <a16:creationId xmlns:a16="http://schemas.microsoft.com/office/drawing/2014/main" id="{F57F46CF-25DB-ED94-370E-F4D0019CA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430568</xdr:colOff>
      <xdr:row>33</xdr:row>
      <xdr:rowOff>183501</xdr:rowOff>
    </xdr:from>
    <xdr:to>
      <xdr:col>21</xdr:col>
      <xdr:colOff>103996</xdr:colOff>
      <xdr:row>48</xdr:row>
      <xdr:rowOff>10885</xdr:rowOff>
    </xdr:to>
    <xdr:graphicFrame macro="">
      <xdr:nvGraphicFramePr>
        <xdr:cNvPr id="8" name="Chart 7">
          <a:extLst>
            <a:ext uri="{FF2B5EF4-FFF2-40B4-BE49-F238E27FC236}">
              <a16:creationId xmlns:a16="http://schemas.microsoft.com/office/drawing/2014/main" id="{00C061E0-6712-7115-1C32-A20ECF17C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692150</xdr:colOff>
      <xdr:row>8</xdr:row>
      <xdr:rowOff>63500</xdr:rowOff>
    </xdr:from>
    <xdr:to>
      <xdr:col>14</xdr:col>
      <xdr:colOff>533400</xdr:colOff>
      <xdr:row>15</xdr:row>
      <xdr:rowOff>101600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E941BA6D-4731-F2C3-814E-21DCA7C0615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671050" y="1587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187325</xdr:colOff>
      <xdr:row>36</xdr:row>
      <xdr:rowOff>146050</xdr:rowOff>
    </xdr:from>
    <xdr:to>
      <xdr:col>11</xdr:col>
      <xdr:colOff>352425</xdr:colOff>
      <xdr:row>50</xdr:row>
      <xdr:rowOff>146050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7B143C88-5E6B-1070-A552-8EB66034C39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166225" y="7004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1000125</xdr:colOff>
      <xdr:row>40</xdr:row>
      <xdr:rowOff>57150</xdr:rowOff>
    </xdr:from>
    <xdr:to>
      <xdr:col>7</xdr:col>
      <xdr:colOff>847725</xdr:colOff>
      <xdr:row>54</xdr:row>
      <xdr:rowOff>57150</xdr:rowOff>
    </xdr:to>
    <mc:AlternateContent xmlns:mc="http://schemas.openxmlformats.org/markup-compatibility/2006" xmlns:a14="http://schemas.microsoft.com/office/drawing/2010/main">
      <mc:Choice Requires="a14">
        <xdr:graphicFrame macro="">
          <xdr:nvGraphicFramePr>
            <xdr:cNvPr id="11" name="Bike_Model">
              <a:extLst>
                <a:ext uri="{FF2B5EF4-FFF2-40B4-BE49-F238E27FC236}">
                  <a16:creationId xmlns:a16="http://schemas.microsoft.com/office/drawing/2014/main" id="{2FE4FE49-67A8-823A-67E0-453E191F5A80}"/>
                </a:ext>
              </a:extLst>
            </xdr:cNvPr>
            <xdr:cNvGraphicFramePr/>
          </xdr:nvGraphicFramePr>
          <xdr:xfrm>
            <a:off x="0" y="0"/>
            <a:ext cx="0" cy="0"/>
          </xdr:xfrm>
          <a:graphic>
            <a:graphicData uri="http://schemas.microsoft.com/office/drawing/2010/slicer">
              <sle:slicer xmlns:sle="http://schemas.microsoft.com/office/drawing/2010/slicer" name="Bike_Model"/>
            </a:graphicData>
          </a:graphic>
        </xdr:graphicFrame>
      </mc:Choice>
      <mc:Fallback xmlns="">
        <xdr:sp macro="" textlink="">
          <xdr:nvSpPr>
            <xdr:cNvPr id="0" name=""/>
            <xdr:cNvSpPr>
              <a:spLocks noTextEdit="1"/>
            </xdr:cNvSpPr>
          </xdr:nvSpPr>
          <xdr:spPr>
            <a:xfrm>
              <a:off x="6346825" y="7677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32</xdr:col>
      <xdr:colOff>444423</xdr:colOff>
      <xdr:row>55</xdr:row>
      <xdr:rowOff>20266</xdr:rowOff>
    </xdr:to>
    <xdr:pic>
      <xdr:nvPicPr>
        <xdr:cNvPr id="3" name="Picture 2">
          <a:extLst>
            <a:ext uri="{FF2B5EF4-FFF2-40B4-BE49-F238E27FC236}">
              <a16:creationId xmlns:a16="http://schemas.microsoft.com/office/drawing/2014/main" id="{B9EBC001-C8F8-77B0-A1AE-7B32758464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899742" cy="10051915"/>
        </a:xfrm>
        <a:prstGeom prst="rect">
          <a:avLst/>
        </a:prstGeom>
      </xdr:spPr>
    </xdr:pic>
    <xdr:clientData/>
  </xdr:twoCellAnchor>
  <xdr:twoCellAnchor editAs="oneCell">
    <xdr:from>
      <xdr:col>0</xdr:col>
      <xdr:colOff>60798</xdr:colOff>
      <xdr:row>0</xdr:row>
      <xdr:rowOff>0</xdr:rowOff>
    </xdr:from>
    <xdr:to>
      <xdr:col>5</xdr:col>
      <xdr:colOff>243191</xdr:colOff>
      <xdr:row>13</xdr:row>
      <xdr:rowOff>60797</xdr:rowOff>
    </xdr:to>
    <xdr:pic>
      <xdr:nvPicPr>
        <xdr:cNvPr id="5" name="Picture 4">
          <a:extLst>
            <a:ext uri="{FF2B5EF4-FFF2-40B4-BE49-F238E27FC236}">
              <a16:creationId xmlns:a16="http://schemas.microsoft.com/office/drawing/2014/main" id="{4FCDB317-04F2-1D56-92ED-A03FA1830F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798" y="0"/>
          <a:ext cx="3222287" cy="2431914"/>
        </a:xfrm>
        <a:prstGeom prst="rect">
          <a:avLst/>
        </a:prstGeom>
      </xdr:spPr>
    </xdr:pic>
    <xdr:clientData/>
  </xdr:twoCellAnchor>
  <xdr:twoCellAnchor>
    <xdr:from>
      <xdr:col>5</xdr:col>
      <xdr:colOff>486383</xdr:colOff>
      <xdr:row>0</xdr:row>
      <xdr:rowOff>121596</xdr:rowOff>
    </xdr:from>
    <xdr:to>
      <xdr:col>11</xdr:col>
      <xdr:colOff>60798</xdr:colOff>
      <xdr:row>11</xdr:row>
      <xdr:rowOff>20266</xdr:rowOff>
    </xdr:to>
    <xdr:sp macro="" textlink="Sheet2!A5">
      <xdr:nvSpPr>
        <xdr:cNvPr id="7" name="Rectangle 6">
          <a:extLst>
            <a:ext uri="{FF2B5EF4-FFF2-40B4-BE49-F238E27FC236}">
              <a16:creationId xmlns:a16="http://schemas.microsoft.com/office/drawing/2014/main" id="{605E1CE5-98E5-4CF2-A1A0-6B88AE01B732}"/>
            </a:ext>
          </a:extLst>
        </xdr:cNvPr>
        <xdr:cNvSpPr/>
      </xdr:nvSpPr>
      <xdr:spPr>
        <a:xfrm>
          <a:off x="3526277" y="121596"/>
          <a:ext cx="3222287" cy="1905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D5BCCF-5A76-4ADA-9E66-C7D247FBF9A9}" type="TxLink">
            <a:rPr lang="en-US" sz="3200" b="1" i="0" u="none" strike="noStrike">
              <a:solidFill>
                <a:srgbClr val="000000"/>
              </a:solidFill>
              <a:latin typeface="Aptos Narrow"/>
            </a:rPr>
            <a:pPr algn="ctr"/>
            <a:t> ₹ 11,54,31,890 </a:t>
          </a:fld>
          <a:endParaRPr lang="en-US" sz="3200" b="1" i="0" u="none" strike="noStrike">
            <a:solidFill>
              <a:srgbClr val="000000"/>
            </a:solidFill>
            <a:latin typeface="Aptos Narrow"/>
          </a:endParaRPr>
        </a:p>
        <a:p>
          <a:pPr algn="ctr"/>
          <a:r>
            <a:rPr lang="en-US" sz="3200" b="1" i="0" u="none" strike="noStrike">
              <a:solidFill>
                <a:srgbClr val="000000"/>
              </a:solidFill>
              <a:latin typeface="Aptos Narrow"/>
            </a:rPr>
            <a:t>Total Salse</a:t>
          </a:r>
        </a:p>
      </xdr:txBody>
    </xdr:sp>
    <xdr:clientData/>
  </xdr:twoCellAnchor>
  <xdr:twoCellAnchor>
    <xdr:from>
      <xdr:col>11</xdr:col>
      <xdr:colOff>91602</xdr:colOff>
      <xdr:row>0</xdr:row>
      <xdr:rowOff>111868</xdr:rowOff>
    </xdr:from>
    <xdr:to>
      <xdr:col>16</xdr:col>
      <xdr:colOff>273995</xdr:colOff>
      <xdr:row>11</xdr:row>
      <xdr:rowOff>10538</xdr:rowOff>
    </xdr:to>
    <xdr:sp macro="" textlink="Sheet2!C5">
      <xdr:nvSpPr>
        <xdr:cNvPr id="16" name="Rectangle 15">
          <a:extLst>
            <a:ext uri="{FF2B5EF4-FFF2-40B4-BE49-F238E27FC236}">
              <a16:creationId xmlns:a16="http://schemas.microsoft.com/office/drawing/2014/main" id="{CD935708-83F9-45A3-A2BD-95DA6209D4C8}"/>
            </a:ext>
          </a:extLst>
        </xdr:cNvPr>
        <xdr:cNvSpPr/>
      </xdr:nvSpPr>
      <xdr:spPr>
        <a:xfrm>
          <a:off x="6779368" y="111868"/>
          <a:ext cx="3222287" cy="1905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00FE77-95BC-4F56-AE80-B3F427E732CA}" type="TxLink">
            <a:rPr lang="en-US" sz="3200" b="1" i="0" u="none" strike="noStrike">
              <a:solidFill>
                <a:srgbClr val="000000"/>
              </a:solidFill>
              <a:latin typeface="Aptos Narrow"/>
              <a:ea typeface="+mn-ea"/>
              <a:cs typeface="+mn-cs"/>
            </a:rPr>
            <a:pPr marL="0" indent="0" algn="ctr"/>
            <a:t>732</a:t>
          </a:fld>
          <a:endParaRPr lang="en-US" sz="3200" b="1" i="0" u="none" strike="noStrike">
            <a:solidFill>
              <a:srgbClr val="000000"/>
            </a:solidFill>
            <a:latin typeface="Aptos Narrow"/>
            <a:ea typeface="+mn-ea"/>
            <a:cs typeface="+mn-cs"/>
          </a:endParaRPr>
        </a:p>
        <a:p>
          <a:pPr marL="0" indent="0" algn="ctr"/>
          <a:r>
            <a:rPr lang="en-US" sz="3200" b="1" i="0" u="none" strike="noStrike">
              <a:solidFill>
                <a:srgbClr val="000000"/>
              </a:solidFill>
              <a:latin typeface="Aptos Narrow"/>
              <a:ea typeface="+mn-ea"/>
              <a:cs typeface="+mn-cs"/>
            </a:rPr>
            <a:t>Total Order</a:t>
          </a:r>
          <a:endParaRPr lang="en-IN" sz="3200" b="1" i="0" u="none" strike="noStrike">
            <a:solidFill>
              <a:srgbClr val="000000"/>
            </a:solidFill>
            <a:latin typeface="Aptos Narrow"/>
            <a:ea typeface="+mn-ea"/>
            <a:cs typeface="+mn-cs"/>
          </a:endParaRPr>
        </a:p>
      </xdr:txBody>
    </xdr:sp>
    <xdr:clientData/>
  </xdr:twoCellAnchor>
  <xdr:twoCellAnchor>
    <xdr:from>
      <xdr:col>16</xdr:col>
      <xdr:colOff>325066</xdr:colOff>
      <xdr:row>0</xdr:row>
      <xdr:rowOff>122406</xdr:rowOff>
    </xdr:from>
    <xdr:to>
      <xdr:col>21</xdr:col>
      <xdr:colOff>507460</xdr:colOff>
      <xdr:row>11</xdr:row>
      <xdr:rowOff>21076</xdr:rowOff>
    </xdr:to>
    <xdr:sp macro="" textlink="Sheet2!F5">
      <xdr:nvSpPr>
        <xdr:cNvPr id="17" name="Rectangle 16">
          <a:extLst>
            <a:ext uri="{FF2B5EF4-FFF2-40B4-BE49-F238E27FC236}">
              <a16:creationId xmlns:a16="http://schemas.microsoft.com/office/drawing/2014/main" id="{FB7628A1-F75A-418C-B257-C9007EA21DBE}"/>
            </a:ext>
          </a:extLst>
        </xdr:cNvPr>
        <xdr:cNvSpPr/>
      </xdr:nvSpPr>
      <xdr:spPr>
        <a:xfrm>
          <a:off x="10052726" y="122406"/>
          <a:ext cx="3222287" cy="1905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6479402-DB3C-4D36-8DEB-9CA4D6032B95}" type="TxLink">
            <a:rPr lang="en-US" sz="3200" b="1" i="0" u="none" strike="noStrike">
              <a:solidFill>
                <a:srgbClr val="000000"/>
              </a:solidFill>
              <a:latin typeface="Aptos Narrow"/>
              <a:ea typeface="+mn-ea"/>
              <a:cs typeface="+mn-cs"/>
            </a:rPr>
            <a:pPr marL="0" indent="0" algn="ctr"/>
            <a:t>838</a:t>
          </a:fld>
          <a:endParaRPr lang="en-US" sz="3200" b="1" i="0" u="none" strike="noStrike">
            <a:solidFill>
              <a:srgbClr val="000000"/>
            </a:solidFill>
            <a:latin typeface="Aptos Narrow"/>
            <a:ea typeface="+mn-ea"/>
            <a:cs typeface="+mn-cs"/>
          </a:endParaRPr>
        </a:p>
        <a:p>
          <a:pPr marL="0" indent="0" algn="ctr"/>
          <a:r>
            <a:rPr lang="en-US" sz="3200" b="1" i="0" u="none" strike="noStrike">
              <a:solidFill>
                <a:srgbClr val="000000"/>
              </a:solidFill>
              <a:latin typeface="Aptos Narrow"/>
              <a:ea typeface="+mn-ea"/>
              <a:cs typeface="+mn-cs"/>
            </a:rPr>
            <a:t>Total Quentity</a:t>
          </a:r>
          <a:endParaRPr lang="en-IN" sz="3200" b="1" i="0" u="none" strike="noStrike">
            <a:solidFill>
              <a:srgbClr val="000000"/>
            </a:solidFill>
            <a:latin typeface="Aptos Narrow"/>
            <a:ea typeface="+mn-ea"/>
            <a:cs typeface="+mn-cs"/>
          </a:endParaRPr>
        </a:p>
      </xdr:txBody>
    </xdr:sp>
    <xdr:clientData/>
  </xdr:twoCellAnchor>
  <xdr:twoCellAnchor>
    <xdr:from>
      <xdr:col>21</xdr:col>
      <xdr:colOff>538265</xdr:colOff>
      <xdr:row>0</xdr:row>
      <xdr:rowOff>112678</xdr:rowOff>
    </xdr:from>
    <xdr:to>
      <xdr:col>27</xdr:col>
      <xdr:colOff>112679</xdr:colOff>
      <xdr:row>11</xdr:row>
      <xdr:rowOff>11348</xdr:rowOff>
    </xdr:to>
    <xdr:sp macro="" textlink="Sheet2!H5">
      <xdr:nvSpPr>
        <xdr:cNvPr id="18" name="Rectangle 17">
          <a:extLst>
            <a:ext uri="{FF2B5EF4-FFF2-40B4-BE49-F238E27FC236}">
              <a16:creationId xmlns:a16="http://schemas.microsoft.com/office/drawing/2014/main" id="{8C992F4A-B841-46B5-9862-0FED73848BA5}"/>
            </a:ext>
          </a:extLst>
        </xdr:cNvPr>
        <xdr:cNvSpPr/>
      </xdr:nvSpPr>
      <xdr:spPr>
        <a:xfrm>
          <a:off x="13305818" y="112678"/>
          <a:ext cx="3222287" cy="1905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13E74F7-0598-4FFC-A0BB-7FD4843D864A}" type="TxLink">
            <a:rPr lang="en-US" sz="3200" b="1" i="0" u="none" strike="noStrike">
              <a:solidFill>
                <a:srgbClr val="000000"/>
              </a:solidFill>
              <a:latin typeface="Aptos Narrow"/>
              <a:ea typeface="+mn-ea"/>
              <a:cs typeface="+mn-cs"/>
            </a:rPr>
            <a:pPr marL="0" indent="0" algn="ctr"/>
            <a:t> ₹ 1,40,56,698.94 </a:t>
          </a:fld>
          <a:endParaRPr lang="en-US" sz="3200" b="1" i="0" u="none" strike="noStrike">
            <a:solidFill>
              <a:srgbClr val="000000"/>
            </a:solidFill>
            <a:latin typeface="Aptos Narrow"/>
            <a:ea typeface="+mn-ea"/>
            <a:cs typeface="+mn-cs"/>
          </a:endParaRPr>
        </a:p>
        <a:p>
          <a:pPr marL="0" indent="0" algn="ctr"/>
          <a:r>
            <a:rPr lang="en-US" sz="3200" b="1" i="0" u="none" strike="noStrike">
              <a:solidFill>
                <a:srgbClr val="000000"/>
              </a:solidFill>
              <a:latin typeface="Aptos Narrow"/>
              <a:ea typeface="+mn-ea"/>
              <a:cs typeface="+mn-cs"/>
            </a:rPr>
            <a:t>Total Profit</a:t>
          </a:r>
          <a:endParaRPr lang="en-IN" sz="3200" b="1" i="0" u="none" strike="noStrike">
            <a:solidFill>
              <a:srgbClr val="000000"/>
            </a:solidFill>
            <a:latin typeface="Aptos Narrow"/>
            <a:ea typeface="+mn-ea"/>
            <a:cs typeface="+mn-cs"/>
          </a:endParaRPr>
        </a:p>
      </xdr:txBody>
    </xdr:sp>
    <xdr:clientData/>
  </xdr:twoCellAnchor>
  <xdr:twoCellAnchor>
    <xdr:from>
      <xdr:col>27</xdr:col>
      <xdr:colOff>184015</xdr:colOff>
      <xdr:row>0</xdr:row>
      <xdr:rowOff>123216</xdr:rowOff>
    </xdr:from>
    <xdr:to>
      <xdr:col>32</xdr:col>
      <xdr:colOff>366409</xdr:colOff>
      <xdr:row>11</xdr:row>
      <xdr:rowOff>21886</xdr:rowOff>
    </xdr:to>
    <xdr:sp macro="" textlink="Sheet2!J5">
      <xdr:nvSpPr>
        <xdr:cNvPr id="19" name="Rectangle 18">
          <a:extLst>
            <a:ext uri="{FF2B5EF4-FFF2-40B4-BE49-F238E27FC236}">
              <a16:creationId xmlns:a16="http://schemas.microsoft.com/office/drawing/2014/main" id="{E078F460-982A-4DDB-A393-6993EF175CCE}"/>
            </a:ext>
          </a:extLst>
        </xdr:cNvPr>
        <xdr:cNvSpPr/>
      </xdr:nvSpPr>
      <xdr:spPr>
        <a:xfrm>
          <a:off x="16599441" y="123216"/>
          <a:ext cx="3222287" cy="1905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6A422C8-1E25-47DD-B0AA-7DEBD88FA437}" type="TxLink">
            <a:rPr lang="en-US" sz="3200" b="1" i="0" u="none" strike="noStrike">
              <a:solidFill>
                <a:srgbClr val="000000"/>
              </a:solidFill>
              <a:latin typeface="Aptos Narrow"/>
              <a:ea typeface="+mn-ea"/>
              <a:cs typeface="+mn-cs"/>
            </a:rPr>
            <a:pPr marL="0" indent="0" algn="ctr"/>
            <a:t> ₹ 1,57,694 </a:t>
          </a:fld>
          <a:endParaRPr lang="en-IN" sz="3200" b="1" i="0" u="none" strike="noStrike">
            <a:solidFill>
              <a:srgbClr val="000000"/>
            </a:solidFill>
            <a:latin typeface="Aptos Narrow"/>
            <a:ea typeface="+mn-ea"/>
            <a:cs typeface="+mn-cs"/>
          </a:endParaRPr>
        </a:p>
        <a:p>
          <a:pPr marL="0" indent="0" algn="ctr"/>
          <a:r>
            <a:rPr lang="en-IN" sz="3200" b="1" i="0" u="none" strike="noStrike">
              <a:solidFill>
                <a:srgbClr val="000000"/>
              </a:solidFill>
              <a:latin typeface="Aptos Narrow"/>
              <a:ea typeface="+mn-ea"/>
              <a:cs typeface="+mn-cs"/>
            </a:rPr>
            <a:t>Average</a:t>
          </a:r>
          <a:r>
            <a:rPr lang="en-IN" sz="3200" b="1" i="0" u="none" strike="noStrike" baseline="0">
              <a:solidFill>
                <a:srgbClr val="000000"/>
              </a:solidFill>
              <a:latin typeface="Aptos Narrow"/>
              <a:ea typeface="+mn-ea"/>
              <a:cs typeface="+mn-cs"/>
            </a:rPr>
            <a:t> Salse</a:t>
          </a:r>
          <a:endParaRPr lang="en-US" sz="3200" b="1" i="0" u="none" strike="noStrike">
            <a:solidFill>
              <a:srgbClr val="000000"/>
            </a:solidFill>
            <a:latin typeface="Aptos Narrow"/>
            <a:ea typeface="+mn-ea"/>
            <a:cs typeface="+mn-cs"/>
          </a:endParaRPr>
        </a:p>
      </xdr:txBody>
    </xdr:sp>
    <xdr:clientData/>
  </xdr:twoCellAnchor>
  <xdr:twoCellAnchor>
    <xdr:from>
      <xdr:col>5</xdr:col>
      <xdr:colOff>567446</xdr:colOff>
      <xdr:row>12</xdr:row>
      <xdr:rowOff>101330</xdr:rowOff>
    </xdr:from>
    <xdr:to>
      <xdr:col>18</xdr:col>
      <xdr:colOff>526914</xdr:colOff>
      <xdr:row>26</xdr:row>
      <xdr:rowOff>108625</xdr:rowOff>
    </xdr:to>
    <xdr:graphicFrame macro="">
      <xdr:nvGraphicFramePr>
        <xdr:cNvPr id="21" name="Chart 20">
          <a:extLst>
            <a:ext uri="{FF2B5EF4-FFF2-40B4-BE49-F238E27FC236}">
              <a16:creationId xmlns:a16="http://schemas.microsoft.com/office/drawing/2014/main" id="{8D725ABA-E95A-4860-A09C-160FC437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283723</xdr:colOff>
      <xdr:row>28</xdr:row>
      <xdr:rowOff>1</xdr:rowOff>
    </xdr:from>
    <xdr:to>
      <xdr:col>32</xdr:col>
      <xdr:colOff>243192</xdr:colOff>
      <xdr:row>42</xdr:row>
      <xdr:rowOff>60798</xdr:rowOff>
    </xdr:to>
    <xdr:graphicFrame macro="">
      <xdr:nvGraphicFramePr>
        <xdr:cNvPr id="25" name="Chart 24">
          <a:extLst>
            <a:ext uri="{FF2B5EF4-FFF2-40B4-BE49-F238E27FC236}">
              <a16:creationId xmlns:a16="http://schemas.microsoft.com/office/drawing/2014/main" id="{009082DC-7575-4AFD-B91D-268E88930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466118</xdr:colOff>
      <xdr:row>43</xdr:row>
      <xdr:rowOff>101330</xdr:rowOff>
    </xdr:from>
    <xdr:to>
      <xdr:col>19</xdr:col>
      <xdr:colOff>101330</xdr:colOff>
      <xdr:row>54</xdr:row>
      <xdr:rowOff>40533</xdr:rowOff>
    </xdr:to>
    <xdr:graphicFrame macro="">
      <xdr:nvGraphicFramePr>
        <xdr:cNvPr id="26" name="Chart 25">
          <a:extLst>
            <a:ext uri="{FF2B5EF4-FFF2-40B4-BE49-F238E27FC236}">
              <a16:creationId xmlns:a16="http://schemas.microsoft.com/office/drawing/2014/main" id="{B34610E4-0FF0-4F93-BA7D-384CB479F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182393</xdr:colOff>
      <xdr:row>43</xdr:row>
      <xdr:rowOff>141861</xdr:rowOff>
    </xdr:from>
    <xdr:to>
      <xdr:col>32</xdr:col>
      <xdr:colOff>263457</xdr:colOff>
      <xdr:row>54</xdr:row>
      <xdr:rowOff>0</xdr:rowOff>
    </xdr:to>
    <xdr:graphicFrame macro="">
      <xdr:nvGraphicFramePr>
        <xdr:cNvPr id="27" name="Chart 26">
          <a:extLst>
            <a:ext uri="{FF2B5EF4-FFF2-40B4-BE49-F238E27FC236}">
              <a16:creationId xmlns:a16="http://schemas.microsoft.com/office/drawing/2014/main" id="{D1109614-3877-44C8-A44C-994B96E10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60797</xdr:colOff>
      <xdr:row>12</xdr:row>
      <xdr:rowOff>1</xdr:rowOff>
    </xdr:from>
    <xdr:to>
      <xdr:col>5</xdr:col>
      <xdr:colOff>283723</xdr:colOff>
      <xdr:row>21</xdr:row>
      <xdr:rowOff>60798</xdr:rowOff>
    </xdr:to>
    <mc:AlternateContent xmlns:mc="http://schemas.openxmlformats.org/markup-compatibility/2006" xmlns:tsle="http://schemas.microsoft.com/office/drawing/2012/timeslicer">
      <mc:Choice Requires="tsle">
        <xdr:graphicFrame macro="">
          <xdr:nvGraphicFramePr>
            <xdr:cNvPr id="28" name="Order_Date 1">
              <a:extLst>
                <a:ext uri="{FF2B5EF4-FFF2-40B4-BE49-F238E27FC236}">
                  <a16:creationId xmlns:a16="http://schemas.microsoft.com/office/drawing/2014/main" id="{71B4921F-C929-4F58-BF46-5480FCF136DA}"/>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60797" y="2337956"/>
              <a:ext cx="3253608" cy="181426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64576</xdr:colOff>
      <xdr:row>21</xdr:row>
      <xdr:rowOff>129153</xdr:rowOff>
    </xdr:from>
    <xdr:to>
      <xdr:col>5</xdr:col>
      <xdr:colOff>322881</xdr:colOff>
      <xdr:row>36</xdr:row>
      <xdr:rowOff>28649</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2C4EE1FC-2A85-4067-BEA4-93FA93390C0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4576" y="4220573"/>
              <a:ext cx="3288987" cy="2821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32288</xdr:colOff>
      <xdr:row>36</xdr:row>
      <xdr:rowOff>96865</xdr:rowOff>
    </xdr:from>
    <xdr:to>
      <xdr:col>5</xdr:col>
      <xdr:colOff>290593</xdr:colOff>
      <xdr:row>54</xdr:row>
      <xdr:rowOff>48432</xdr:rowOff>
    </xdr:to>
    <mc:AlternateContent xmlns:mc="http://schemas.openxmlformats.org/markup-compatibility/2006" xmlns:a14="http://schemas.microsoft.com/office/drawing/2010/main">
      <mc:Choice Requires="a14">
        <xdr:graphicFrame macro="">
          <xdr:nvGraphicFramePr>
            <xdr:cNvPr id="30" name="Bike_Model 1">
              <a:extLst>
                <a:ext uri="{FF2B5EF4-FFF2-40B4-BE49-F238E27FC236}">
                  <a16:creationId xmlns:a16="http://schemas.microsoft.com/office/drawing/2014/main" id="{9F74A570-7F19-4EFF-ABE8-D8EC5723FEEC}"/>
                </a:ext>
              </a:extLst>
            </xdr:cNvPr>
            <xdr:cNvGraphicFramePr/>
          </xdr:nvGraphicFramePr>
          <xdr:xfrm>
            <a:off x="0" y="0"/>
            <a:ext cx="0" cy="0"/>
          </xdr:xfrm>
          <a:graphic>
            <a:graphicData uri="http://schemas.microsoft.com/office/drawing/2010/slicer">
              <sle:slicer xmlns:sle="http://schemas.microsoft.com/office/drawing/2010/slicer" name="Bike_Model 1"/>
            </a:graphicData>
          </a:graphic>
        </xdr:graphicFrame>
      </mc:Choice>
      <mc:Fallback xmlns="">
        <xdr:sp macro="" textlink="">
          <xdr:nvSpPr>
            <xdr:cNvPr id="0" name=""/>
            <xdr:cNvSpPr>
              <a:spLocks noTextEdit="1"/>
            </xdr:cNvSpPr>
          </xdr:nvSpPr>
          <xdr:spPr>
            <a:xfrm>
              <a:off x="32288" y="7110729"/>
              <a:ext cx="3288987" cy="3458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534737</xdr:colOff>
      <xdr:row>28</xdr:row>
      <xdr:rowOff>1</xdr:rowOff>
    </xdr:from>
    <xdr:to>
      <xdr:col>18</xdr:col>
      <xdr:colOff>551447</xdr:colOff>
      <xdr:row>42</xdr:row>
      <xdr:rowOff>16712</xdr:rowOff>
    </xdr:to>
    <xdr:graphicFrame macro="">
      <xdr:nvGraphicFramePr>
        <xdr:cNvPr id="31" name="Chart 30">
          <a:extLst>
            <a:ext uri="{FF2B5EF4-FFF2-40B4-BE49-F238E27FC236}">
              <a16:creationId xmlns:a16="http://schemas.microsoft.com/office/drawing/2014/main" id="{017E62FC-72C6-4DCF-9D7C-938BEC7F9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250658</xdr:colOff>
      <xdr:row>12</xdr:row>
      <xdr:rowOff>83552</xdr:rowOff>
    </xdr:from>
    <xdr:to>
      <xdr:col>32</xdr:col>
      <xdr:colOff>300790</xdr:colOff>
      <xdr:row>26</xdr:row>
      <xdr:rowOff>116973</xdr:rowOff>
    </xdr:to>
    <xdr:graphicFrame macro="">
      <xdr:nvGraphicFramePr>
        <xdr:cNvPr id="32" name="Chart 31">
          <a:extLst>
            <a:ext uri="{FF2B5EF4-FFF2-40B4-BE49-F238E27FC236}">
              <a16:creationId xmlns:a16="http://schemas.microsoft.com/office/drawing/2014/main" id="{B2529348-DBEE-42F7-8734-75919B0E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amon Josva G.V" refreshedDate="46288.423845486112" createdVersion="8" refreshedVersion="8" minRefreshableVersion="3" recordCount="732" xr:uid="{3580626A-E388-4BBA-A7DC-F4E0EEADFE72}">
  <cacheSource type="worksheet">
    <worksheetSource name="Ridezone_Raw_Data"/>
  </cacheSource>
  <cacheFields count="23">
    <cacheField name="Showroom_Name" numFmtId="0">
      <sharedItems/>
    </cacheField>
    <cacheField name="Order_ID" numFmtId="0">
      <sharedItems count="72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haredItems>
    </cacheField>
    <cacheField name="Order_Date" numFmtId="14">
      <sharedItems containsSemiMixedTypes="0" containsNonDate="0" containsDate="1" containsString="0" minDate="2025-01-02T00:00:00" maxDate="2026-09-14T00:00:00" count="424">
        <d v="2025-04-15T00:00:00"/>
        <d v="2026-03-06T00:00:00"/>
        <d v="2025-04-10T00:00:00"/>
        <d v="2025-03-13T00:00:00"/>
        <d v="2025-03-15T00:00:00"/>
        <d v="2025-03-09T00:00:00"/>
        <d v="2026-03-15T00:00:00"/>
        <d v="2026-01-26T00:00:00"/>
        <d v="2026-05-28T00:00:00"/>
        <d v="2025-11-11T00:00:00"/>
        <d v="2026-03-10T00:00:00"/>
        <d v="2025-08-24T00:00:00"/>
        <d v="2026-08-08T00:00:00"/>
        <d v="2025-04-11T00:00:00"/>
        <d v="2025-03-19T00:00:00"/>
        <d v="2025-01-03T00:00:00"/>
        <d v="2025-11-18T00:00:00"/>
        <d v="2026-08-07T00:00:00"/>
        <d v="2025-11-20T00:00:00"/>
        <d v="2026-03-25T00:00:00"/>
        <d v="2025-07-28T00:00:00"/>
        <d v="2026-03-29T00:00:00"/>
        <d v="2025-02-10T00:00:00"/>
        <d v="2025-12-07T00:00:00"/>
        <d v="2025-08-22T00:00:00"/>
        <d v="2025-04-29T00:00:00"/>
        <d v="2026-03-23T00:00:00"/>
        <d v="2025-10-30T00:00:00"/>
        <d v="2025-11-26T00:00:00"/>
        <d v="2025-07-23T00:00:00"/>
        <d v="2025-06-01T00:00:00"/>
        <d v="2026-07-27T00:00:00"/>
        <d v="2025-10-09T00:00:00"/>
        <d v="2025-03-07T00:00:00"/>
        <d v="2025-12-27T00:00:00"/>
        <d v="2025-06-19T00:00:00"/>
        <d v="2026-04-11T00:00:00"/>
        <d v="2025-02-11T00:00:00"/>
        <d v="2025-04-28T00:00:00"/>
        <d v="2025-05-04T00:00:00"/>
        <d v="2026-04-16T00:00:00"/>
        <d v="2025-09-07T00:00:00"/>
        <d v="2025-10-10T00:00:00"/>
        <d v="2026-02-19T00:00:00"/>
        <d v="2025-07-17T00:00:00"/>
        <d v="2026-07-01T00:00:00"/>
        <d v="2025-07-08T00:00:00"/>
        <d v="2025-09-12T00:00:00"/>
        <d v="2025-08-01T00:00:00"/>
        <d v="2025-02-03T00:00:00"/>
        <d v="2025-05-26T00:00:00"/>
        <d v="2025-03-24T00:00:00"/>
        <d v="2026-05-23T00:00:00"/>
        <d v="2026-04-19T00:00:00"/>
        <d v="2025-01-30T00:00:00"/>
        <d v="2025-10-26T00:00:00"/>
        <d v="2025-06-08T00:00:00"/>
        <d v="2025-10-22T00:00:00"/>
        <d v="2026-03-18T00:00:00"/>
        <d v="2025-09-18T00:00:00"/>
        <d v="2025-11-06T00:00:00"/>
        <d v="2026-02-10T00:00:00"/>
        <d v="2025-05-21T00:00:00"/>
        <d v="2026-07-07T00:00:00"/>
        <d v="2026-02-11T00:00:00"/>
        <d v="2026-01-16T00:00:00"/>
        <d v="2025-02-08T00:00:00"/>
        <d v="2025-04-12T00:00:00"/>
        <d v="2026-01-03T00:00:00"/>
        <d v="2026-08-02T00:00:00"/>
        <d v="2025-04-23T00:00:00"/>
        <d v="2026-02-16T00:00:00"/>
        <d v="2025-11-29T00:00:00"/>
        <d v="2026-02-13T00:00:00"/>
        <d v="2026-01-17T00:00:00"/>
        <d v="2025-08-06T00:00:00"/>
        <d v="2026-07-25T00:00:00"/>
        <d v="2025-02-23T00:00:00"/>
        <d v="2026-03-17T00:00:00"/>
        <d v="2025-10-24T00:00:00"/>
        <d v="2025-02-13T00:00:00"/>
        <d v="2026-04-17T00:00:00"/>
        <d v="2025-12-08T00:00:00"/>
        <d v="2026-01-29T00:00:00"/>
        <d v="2025-06-26T00:00:00"/>
        <d v="2025-12-09T00:00:00"/>
        <d v="2026-02-06T00:00:00"/>
        <d v="2025-12-16T00:00:00"/>
        <d v="2025-06-07T00:00:00"/>
        <d v="2025-11-13T00:00:00"/>
        <d v="2026-05-08T00:00:00"/>
        <d v="2025-12-24T00:00:00"/>
        <d v="2025-05-30T00:00:00"/>
        <d v="2026-06-25T00:00:00"/>
        <d v="2026-06-12T00:00:00"/>
        <d v="2026-07-12T00:00:00"/>
        <d v="2025-04-17T00:00:00"/>
        <d v="2026-04-14T00:00:00"/>
        <d v="2025-07-15T00:00:00"/>
        <d v="2026-05-24T00:00:00"/>
        <d v="2025-11-10T00:00:00"/>
        <d v="2026-02-20T00:00:00"/>
        <d v="2026-04-06T00:00:00"/>
        <d v="2026-06-15T00:00:00"/>
        <d v="2026-04-01T00:00:00"/>
        <d v="2026-05-21T00:00:00"/>
        <d v="2025-11-21T00:00:00"/>
        <d v="2025-06-15T00:00:00"/>
        <d v="2026-08-30T00:00:00"/>
        <d v="2026-07-13T00:00:00"/>
        <d v="2025-05-28T00:00:00"/>
        <d v="2025-11-12T00:00:00"/>
        <d v="2025-10-20T00:00:00"/>
        <d v="2026-01-07T00:00:00"/>
        <d v="2025-11-23T00:00:00"/>
        <d v="2025-01-28T00:00:00"/>
        <d v="2026-03-28T00:00:00"/>
        <d v="2026-05-05T00:00:00"/>
        <d v="2025-08-19T00:00:00"/>
        <d v="2026-02-09T00:00:00"/>
        <d v="2025-10-06T00:00:00"/>
        <d v="2026-07-02T00:00:00"/>
        <d v="2025-12-10T00:00:00"/>
        <d v="2025-01-15T00:00:00"/>
        <d v="2025-05-02T00:00:00"/>
        <d v="2026-09-13T00:00:00"/>
        <d v="2026-07-15T00:00:00"/>
        <d v="2026-04-10T00:00:00"/>
        <d v="2025-02-16T00:00:00"/>
        <d v="2026-03-07T00:00:00"/>
        <d v="2025-08-17T00:00:00"/>
        <d v="2025-02-02T00:00:00"/>
        <d v="2025-11-04T00:00:00"/>
        <d v="2025-09-06T00:00:00"/>
        <d v="2025-03-16T00:00:00"/>
        <d v="2025-07-29T00:00:00"/>
        <d v="2026-04-26T00:00:00"/>
        <d v="2025-06-22T00:00:00"/>
        <d v="2025-08-25T00:00:00"/>
        <d v="2026-06-27T00:00:00"/>
        <d v="2025-01-10T00:00:00"/>
        <d v="2025-02-17T00:00:00"/>
        <d v="2026-02-03T00:00:00"/>
        <d v="2026-09-02T00:00:00"/>
        <d v="2025-03-29T00:00:00"/>
        <d v="2026-09-04T00:00:00"/>
        <d v="2025-10-02T00:00:00"/>
        <d v="2026-09-01T00:00:00"/>
        <d v="2026-04-18T00:00:00"/>
        <d v="2025-03-17T00:00:00"/>
        <d v="2025-02-15T00:00:00"/>
        <d v="2026-08-26T00:00:00"/>
        <d v="2025-12-18T00:00:00"/>
        <d v="2026-03-19T00:00:00"/>
        <d v="2026-07-04T00:00:00"/>
        <d v="2025-12-23T00:00:00"/>
        <d v="2026-02-02T00:00:00"/>
        <d v="2026-04-07T00:00:00"/>
        <d v="2026-08-10T00:00:00"/>
        <d v="2025-03-31T00:00:00"/>
        <d v="2025-05-16T00:00:00"/>
        <d v="2025-10-12T00:00:00"/>
        <d v="2025-08-05T00:00:00"/>
        <d v="2025-06-11T00:00:00"/>
        <d v="2025-11-03T00:00:00"/>
        <d v="2026-02-26T00:00:00"/>
        <d v="2025-03-28T00:00:00"/>
        <d v="2025-09-04T00:00:00"/>
        <d v="2026-03-21T00:00:00"/>
        <d v="2025-09-23T00:00:00"/>
        <d v="2026-04-12T00:00:00"/>
        <d v="2025-01-13T00:00:00"/>
        <d v="2025-11-24T00:00:00"/>
        <d v="2026-07-21T00:00:00"/>
        <d v="2026-07-14T00:00:00"/>
        <d v="2026-02-07T00:00:00"/>
        <d v="2026-02-21T00:00:00"/>
        <d v="2026-04-09T00:00:00"/>
        <d v="2026-08-11T00:00:00"/>
        <d v="2025-09-09T00:00:00"/>
        <d v="2026-07-11T00:00:00"/>
        <d v="2025-10-15T00:00:00"/>
        <d v="2025-06-29T00:00:00"/>
        <d v="2025-07-01T00:00:00"/>
        <d v="2025-12-11T00:00:00"/>
        <d v="2025-10-29T00:00:00"/>
        <d v="2025-03-21T00:00:00"/>
        <d v="2025-04-21T00:00:00"/>
        <d v="2026-08-15T00:00:00"/>
        <d v="2025-03-18T00:00:00"/>
        <d v="2025-07-14T00:00:00"/>
        <d v="2025-09-29T00:00:00"/>
        <d v="2026-08-01T00:00:00"/>
        <d v="2026-05-02T00:00:00"/>
        <d v="2025-05-10T00:00:00"/>
        <d v="2026-07-03T00:00:00"/>
        <d v="2025-02-09T00:00:00"/>
        <d v="2026-06-13T00:00:00"/>
        <d v="2026-04-13T00:00:00"/>
        <d v="2026-05-01T00:00:00"/>
        <d v="2026-01-19T00:00:00"/>
        <d v="2025-06-03T00:00:00"/>
        <d v="2025-02-06T00:00:00"/>
        <d v="2025-05-01T00:00:00"/>
        <d v="2025-12-17T00:00:00"/>
        <d v="2025-03-08T00:00:00"/>
        <d v="2026-02-18T00:00:00"/>
        <d v="2025-09-19T00:00:00"/>
        <d v="2025-06-06T00:00:00"/>
        <d v="2025-04-19T00:00:00"/>
        <d v="2025-09-20T00:00:00"/>
        <d v="2025-07-07T00:00:00"/>
        <d v="2025-06-13T00:00:00"/>
        <d v="2025-03-06T00:00:00"/>
        <d v="2026-07-26T00:00:00"/>
        <d v="2026-07-18T00:00:00"/>
        <d v="2025-01-19T00:00:00"/>
        <d v="2025-02-25T00:00:00"/>
        <d v="2026-01-18T00:00:00"/>
        <d v="2026-08-23T00:00:00"/>
        <d v="2025-10-08T00:00:00"/>
        <d v="2025-08-03T00:00:00"/>
        <d v="2026-03-09T00:00:00"/>
        <d v="2025-02-18T00:00:00"/>
        <d v="2026-01-12T00:00:00"/>
        <d v="2025-10-13T00:00:00"/>
        <d v="2025-11-05T00:00:00"/>
        <d v="2025-08-15T00:00:00"/>
        <d v="2025-10-31T00:00:00"/>
        <d v="2026-03-22T00:00:00"/>
        <d v="2026-07-05T00:00:00"/>
        <d v="2026-08-04T00:00:00"/>
        <d v="2025-08-29T00:00:00"/>
        <d v="2025-03-20T00:00:00"/>
        <d v="2026-08-27T00:00:00"/>
        <d v="2026-08-03T00:00:00"/>
        <d v="2026-01-05T00:00:00"/>
        <d v="2026-05-06T00:00:00"/>
        <d v="2025-05-31T00:00:00"/>
        <d v="2026-02-25T00:00:00"/>
        <d v="2026-06-01T00:00:00"/>
        <d v="2025-03-27T00:00:00"/>
        <d v="2026-02-23T00:00:00"/>
        <d v="2026-02-28T00:00:00"/>
        <d v="2026-04-03T00:00:00"/>
        <d v="2025-01-11T00:00:00"/>
        <d v="2026-02-14T00:00:00"/>
        <d v="2025-07-19T00:00:00"/>
        <d v="2025-09-21T00:00:00"/>
        <d v="2025-08-14T00:00:00"/>
        <d v="2025-07-02T00:00:00"/>
        <d v="2025-07-27T00:00:00"/>
        <d v="2025-11-30T00:00:00"/>
        <d v="2025-07-20T00:00:00"/>
        <d v="2026-08-05T00:00:00"/>
        <d v="2026-06-07T00:00:00"/>
        <d v="2026-06-18T00:00:00"/>
        <d v="2026-04-30T00:00:00"/>
        <d v="2026-08-29T00:00:00"/>
        <d v="2026-06-20T00:00:00"/>
        <d v="2026-07-16T00:00:00"/>
        <d v="2025-07-12T00:00:00"/>
        <d v="2025-06-04T00:00:00"/>
        <d v="2025-02-04T00:00:00"/>
        <d v="2025-12-13T00:00:00"/>
        <d v="2026-01-22T00:00:00"/>
        <d v="2026-04-25T00:00:00"/>
        <d v="2025-01-20T00:00:00"/>
        <d v="2025-04-24T00:00:00"/>
        <d v="2026-05-17T00:00:00"/>
        <d v="2026-03-02T00:00:00"/>
        <d v="2025-12-12T00:00:00"/>
        <d v="2025-08-16T00:00:00"/>
        <d v="2026-08-14T00:00:00"/>
        <d v="2026-06-21T00:00:00"/>
        <d v="2026-08-09T00:00:00"/>
        <d v="2025-04-26T00:00:00"/>
        <d v="2025-02-24T00:00:00"/>
        <d v="2025-06-10T00:00:00"/>
        <d v="2025-12-04T00:00:00"/>
        <d v="2026-09-12T00:00:00"/>
        <d v="2026-01-25T00:00:00"/>
        <d v="2025-02-20T00:00:00"/>
        <d v="2025-07-26T00:00:00"/>
        <d v="2026-06-08T00:00:00"/>
        <d v="2026-04-28T00:00:00"/>
        <d v="2025-10-25T00:00:00"/>
        <d v="2026-05-11T00:00:00"/>
        <d v="2025-10-18T00:00:00"/>
        <d v="2025-03-30T00:00:00"/>
        <d v="2025-12-05T00:00:00"/>
        <d v="2025-05-11T00:00:00"/>
        <d v="2026-05-09T00:00:00"/>
        <d v="2026-01-24T00:00:00"/>
        <d v="2026-01-27T00:00:00"/>
        <d v="2025-05-09T00:00:00"/>
        <d v="2026-09-11T00:00:00"/>
        <d v="2025-08-31T00:00:00"/>
        <d v="2026-06-24T00:00:00"/>
        <d v="2025-12-20T00:00:00"/>
        <d v="2026-02-04T00:00:00"/>
        <d v="2025-07-04T00:00:00"/>
        <d v="2025-01-25T00:00:00"/>
        <d v="2026-04-24T00:00:00"/>
        <d v="2025-01-04T00:00:00"/>
        <d v="2025-05-24T00:00:00"/>
        <d v="2026-01-21T00:00:00"/>
        <d v="2025-05-27T00:00:00"/>
        <d v="2025-05-29T00:00:00"/>
        <d v="2025-03-03T00:00:00"/>
        <d v="2025-09-11T00:00:00"/>
        <d v="2025-11-09T00:00:00"/>
        <d v="2025-03-14T00:00:00"/>
        <d v="2026-01-08T00:00:00"/>
        <d v="2025-09-02T00:00:00"/>
        <d v="2026-05-13T00:00:00"/>
        <d v="2025-12-01T00:00:00"/>
        <d v="2025-10-19T00:00:00"/>
        <d v="2025-09-24T00:00:00"/>
        <d v="2026-05-27T00:00:00"/>
        <d v="2025-02-27T00:00:00"/>
        <d v="2026-03-31T00:00:00"/>
        <d v="2026-08-28T00:00:00"/>
        <d v="2026-05-03T00:00:00"/>
        <d v="2025-12-31T00:00:00"/>
        <d v="2026-05-31T00:00:00"/>
        <d v="2026-03-12T00:00:00"/>
        <d v="2026-06-17T00:00:00"/>
        <d v="2025-07-03T00:00:00"/>
        <d v="2026-07-10T00:00:00"/>
        <d v="2025-11-07T00:00:00"/>
        <d v="2025-09-08T00:00:00"/>
        <d v="2025-07-30T00:00:00"/>
        <d v="2025-04-03T00:00:00"/>
        <d v="2026-05-19T00:00:00"/>
        <d v="2025-07-06T00:00:00"/>
        <d v="2026-03-16T00:00:00"/>
        <d v="2025-09-30T00:00:00"/>
        <d v="2025-09-26T00:00:00"/>
        <d v="2026-01-28T00:00:00"/>
        <d v="2025-01-05T00:00:00"/>
        <d v="2025-11-14T00:00:00"/>
        <d v="2026-01-13T00:00:00"/>
        <d v="2025-08-26T00:00:00"/>
        <d v="2025-12-15T00:00:00"/>
        <d v="2025-02-12T00:00:00"/>
        <d v="2026-03-01T00:00:00"/>
        <d v="2025-01-31T00:00:00"/>
        <d v="2025-05-13T00:00:00"/>
        <d v="2026-02-24T00:00:00"/>
        <d v="2026-08-17T00:00:00"/>
        <d v="2025-04-04T00:00:00"/>
        <d v="2025-05-17T00:00:00"/>
        <d v="2025-02-01T00:00:00"/>
        <d v="2025-01-21T00:00:00"/>
        <d v="2025-01-08T00:00:00"/>
        <d v="2025-04-08T00:00:00"/>
        <d v="2026-08-31T00:00:00"/>
        <d v="2026-08-22T00:00:00"/>
        <d v="2026-07-22T00:00:00"/>
        <d v="2026-01-23T00:00:00"/>
        <d v="2026-06-05T00:00:00"/>
        <d v="2026-06-09T00:00:00"/>
        <d v="2025-11-17T00:00:00"/>
        <d v="2025-05-23T00:00:00"/>
        <d v="2025-11-08T00:00:00"/>
        <d v="2025-03-11T00:00:00"/>
        <d v="2025-04-16T00:00:00"/>
        <d v="2025-01-29T00:00:00"/>
        <d v="2026-08-06T00:00:00"/>
        <d v="2026-04-05T00:00:00"/>
        <d v="2025-06-09T00:00:00"/>
        <d v="2026-01-20T00:00:00"/>
        <d v="2025-06-16T00:00:00"/>
        <d v="2026-01-06T00:00:00"/>
        <d v="2026-02-12T00:00:00"/>
        <d v="2025-04-02T00:00:00"/>
        <d v="2026-03-04T00:00:00"/>
        <d v="2025-09-03T00:00:00"/>
        <d v="2026-06-28T00:00:00"/>
        <d v="2025-05-07T00:00:00"/>
        <d v="2025-01-02T00:00:00"/>
        <d v="2025-10-17T00:00:00"/>
        <d v="2026-05-10T00:00:00"/>
        <d v="2025-07-05T00:00:00"/>
        <d v="2025-07-31T00:00:00"/>
        <d v="2025-06-17T00:00:00"/>
        <d v="2025-04-18T00:00:00"/>
        <d v="2026-01-15T00:00:00"/>
        <d v="2026-05-20T00:00:00"/>
        <d v="2025-06-24T00:00:00"/>
        <d v="2025-08-11T00:00:00"/>
        <d v="2025-07-10T00:00:00"/>
        <d v="2025-09-14T00:00:00"/>
        <d v="2025-01-09T00:00:00"/>
        <d v="2025-07-16T00:00:00"/>
        <d v="2025-01-14T00:00:00"/>
        <d v="2026-09-09T00:00:00"/>
        <d v="2025-02-14T00:00:00"/>
        <d v="2025-06-20T00:00:00"/>
        <d v="2026-06-22T00:00:00"/>
        <d v="2026-08-21T00:00:00"/>
        <d v="2026-09-07T00:00:00"/>
        <d v="2026-01-30T00:00:00"/>
        <d v="2025-10-21T00:00:00"/>
        <d v="2026-03-08T00:00:00"/>
        <d v="2025-01-27T00:00:00"/>
        <d v="2026-02-05T00:00:00"/>
        <d v="2026-04-20T00:00:00"/>
        <d v="2026-04-23T00:00:00"/>
        <d v="2026-09-08T00:00:00"/>
        <d v="2025-03-12T00:00:00"/>
        <d v="2025-11-01T00:00:00"/>
        <d v="2026-07-29T00:00:00"/>
        <d v="2026-03-13T00:00:00"/>
        <d v="2026-03-24T00:00:00"/>
        <d v="2026-04-21T00:00:00"/>
        <d v="2025-03-22T00:00:00"/>
        <d v="2026-01-02T00:00:00"/>
        <d v="2025-01-17T00:00:00"/>
        <d v="2025-08-20T00:00:00"/>
        <d v="2026-06-29T00:00:00"/>
        <d v="2026-09-03T00:00:00"/>
        <d v="2026-01-31T00:00:00"/>
      </sharedItems>
      <fieldGroup par="22"/>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0" maxValue="120"/>
    </cacheField>
    <cacheField name="City" numFmtId="0">
      <sharedItems count="16">
        <s v="Coimbatore"/>
        <s v="Salem"/>
        <s v="Trichy"/>
        <s v="Erode"/>
        <s v="Salem "/>
        <s v="Madurai"/>
        <s v="Dindigul"/>
        <s v="Tiruppur"/>
        <s v="Chennai"/>
        <s v="Tiruppur "/>
        <s v="Madurai "/>
        <s v="Chennai "/>
        <s v="Coimbatore "/>
        <s v="Dindigul "/>
        <s v="Trichy "/>
        <s v="Erode "/>
      </sharedItems>
    </cacheField>
    <cacheField name="State" numFmtId="0">
      <sharedItems/>
    </cacheField>
    <cacheField name="Bike_Model" numFmtId="0">
      <sharedItems count="14">
        <s v="Honda SP 125"/>
        <s v="Bajaj Pulsar 150"/>
        <s v="TVS Raider 125"/>
        <s v="Royal Enfield Hunter 350"/>
        <s v="Yamaha FZ-S"/>
        <s v="Royal Enfield Classic 350"/>
        <s v="Bajaj Dominar 400"/>
        <s v="Yamaha MT-15"/>
        <s v="TVS Apache RTR 160"/>
        <s v="Honda Shine 125"/>
        <s v="Royal Enfield Classic 350 "/>
        <s v=" TVS Raider 125"/>
        <s v="Yamaha MT15"/>
        <s v="Honda Shine 125 "/>
      </sharedItems>
    </cacheField>
    <cacheField name="Bike_Category" numFmtId="0">
      <sharedItems count="4">
        <s v="Commuter"/>
        <s v="Premium"/>
        <s v="Sports"/>
        <s v="Cruiser"/>
      </sharedItems>
    </cacheField>
    <cacheField name="Quantity" numFmtId="0">
      <sharedItems containsSemiMixedTypes="0" containsString="0" containsNumber="1" containsInteger="1" minValue="0" maxValue="3"/>
    </cacheField>
    <cacheField name="Unit_Price" numFmtId="0">
      <sharedItems containsSemiMixedTypes="0" containsString="0" containsNumber="1" containsInteger="1" minValue="83000" maxValue="237000"/>
    </cacheField>
    <cacheField name="Discount_Percent" numFmtId="0">
      <sharedItems containsSemiMixedTypes="0" containsString="0" containsNumber="1" containsInteger="1" minValue="0" maxValue="10"/>
    </cacheField>
    <cacheField name="Sales" numFmtId="0">
      <sharedItems containsSemiMixedTypes="0" containsString="0" containsNumber="1" containsInteger="1" minValue="74700" maxValue="705000"/>
    </cacheField>
    <cacheField name="Profit" numFmtId="0">
      <sharedItems containsSemiMixedTypes="0" containsString="0" containsNumber="1" minValue="293.62" maxValue="107187.26"/>
    </cacheField>
    <cacheField name="Payment_Mode" numFmtId="0">
      <sharedItems count="9">
        <s v="0"/>
        <s v="Card"/>
        <s v=" UPI"/>
        <s v="Finance"/>
        <s v="Card "/>
        <s v="cash"/>
        <s v="UPI"/>
        <s v="UPI "/>
        <s v="Cash "/>
      </sharedItems>
    </cacheField>
    <cacheField name="Order_Status" numFmtId="0">
      <sharedItems/>
    </cacheField>
    <cacheField name="Salesperson" numFmtId="0">
      <sharedItems count="6">
        <s v="Karthik"/>
        <s v="Priya"/>
        <s v="Suresh"/>
        <s v="Rahul"/>
        <s v="Arun"/>
        <s v="Divya"/>
      </sharedItems>
    </cacheField>
    <cacheField name="Insurance" numFmtId="0">
      <sharedItems/>
    </cacheField>
    <cacheField name="Months (Order_Date)" numFmtId="0" databaseField="0">
      <fieldGroup base="2">
        <rangePr groupBy="months" startDate="2025-01-02T00:00:00" endDate="2026-09-14T00:00:00"/>
        <groupItems count="14">
          <s v="&lt;02-01-2025"/>
          <s v="Jan"/>
          <s v="Feb"/>
          <s v="Mar"/>
          <s v="Apr"/>
          <s v="May"/>
          <s v="Jun"/>
          <s v="Jul"/>
          <s v="Aug"/>
          <s v="Sep"/>
          <s v="Oct"/>
          <s v="Nov"/>
          <s v="Dec"/>
          <s v="&gt;14-09-2026"/>
        </groupItems>
      </fieldGroup>
    </cacheField>
    <cacheField name="Quarters (Order_Date)" numFmtId="0" databaseField="0">
      <fieldGroup base="2">
        <rangePr groupBy="quarters" startDate="2025-01-02T00:00:00" endDate="2026-09-14T00:00:00"/>
        <groupItems count="6">
          <s v="&lt;02-01-2025"/>
          <s v="Qtr1"/>
          <s v="Qtr2"/>
          <s v="Qtr3"/>
          <s v="Qtr4"/>
          <s v="&gt;14-09-2026"/>
        </groupItems>
      </fieldGroup>
    </cacheField>
    <cacheField name="Years (Order_Date)" numFmtId="0" databaseField="0">
      <fieldGroup base="2">
        <rangePr groupBy="years" startDate="2025-01-02T00:00:00" endDate="2026-09-14T00:00:00"/>
        <groupItems count="4">
          <s v="&lt;02-01-2025"/>
          <s v="2025"/>
          <s v="2026"/>
          <s v="&gt;14-09-2026"/>
        </groupItems>
      </fieldGroup>
    </cacheField>
  </cacheFields>
  <extLst>
    <ext xmlns:x14="http://schemas.microsoft.com/office/spreadsheetml/2009/9/main" uri="{725AE2AE-9491-48be-B2B4-4EB974FC3084}">
      <x14:pivotCacheDefinition pivotCacheId="686948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s v="RIDEZONE BIKE SHOWROOM"/>
    <x v="0"/>
    <x v="0"/>
    <s v="CUST2001"/>
    <s v="Karthik Raj"/>
    <s v="Female"/>
    <n v="54"/>
    <x v="0"/>
    <s v="Tamil Nadu"/>
    <x v="0"/>
    <x v="0"/>
    <n v="1"/>
    <n v="94000"/>
    <n v="2"/>
    <n v="92120"/>
    <n v="17226.009999999998"/>
    <x v="0"/>
    <s v="Completed"/>
    <x v="0"/>
    <s v="Yes"/>
  </r>
  <r>
    <s v="RIDEZONE BIKE SHOWROOM"/>
    <x v="1"/>
    <x v="1"/>
    <s v="CUST2002"/>
    <s v="Santhosh R"/>
    <s v="Female"/>
    <n v="34"/>
    <x v="0"/>
    <s v="Tamil Nadu"/>
    <x v="1"/>
    <x v="0"/>
    <n v="1"/>
    <n v="117000"/>
    <n v="10"/>
    <n v="105300"/>
    <n v="4193.3999999999996"/>
    <x v="1"/>
    <s v="Returned"/>
    <x v="1"/>
    <s v="No"/>
  </r>
  <r>
    <s v="RIDEZONE BIKE SHOWROOM"/>
    <x v="2"/>
    <x v="2"/>
    <s v="CUST2003"/>
    <s v="Rahul K"/>
    <s v="Female"/>
    <n v="42"/>
    <x v="1"/>
    <s v="Tamil Nadu"/>
    <x v="2"/>
    <x v="0"/>
    <n v="2"/>
    <n v="98000"/>
    <n v="0"/>
    <n v="196000"/>
    <n v="40938.620000000003"/>
    <x v="2"/>
    <s v="Completed"/>
    <x v="2"/>
    <s v="Yes"/>
  </r>
  <r>
    <s v="RIDEZONE BIKE SHOWROOM"/>
    <x v="3"/>
    <x v="3"/>
    <s v="CUST2004"/>
    <s v="Suresh B"/>
    <s v="Female"/>
    <n v="22"/>
    <x v="2"/>
    <s v="Tamil Nadu"/>
    <x v="1"/>
    <x v="0"/>
    <n v="1"/>
    <n v="116000"/>
    <n v="3"/>
    <n v="112520"/>
    <n v="14003.26"/>
    <x v="3"/>
    <s v="Completed"/>
    <x v="2"/>
    <s v="No"/>
  </r>
  <r>
    <s v="RIDEZONE BIKE SHOWROOM"/>
    <x v="4"/>
    <x v="4"/>
    <s v="CUST2005"/>
    <s v="Suresh B"/>
    <s v="Male"/>
    <n v="30"/>
    <x v="3"/>
    <s v="Tamil Nadu"/>
    <x v="3"/>
    <x v="1"/>
    <n v="1"/>
    <n v="175000"/>
    <n v="2"/>
    <n v="171500"/>
    <n v="20926.32"/>
    <x v="4"/>
    <s v="Cancelled"/>
    <x v="3"/>
    <s v="Yes"/>
  </r>
  <r>
    <s v="RIDEZONE BIKE SHOWROOM"/>
    <x v="5"/>
    <x v="5"/>
    <s v="CUST2006"/>
    <s v="Rahul K"/>
    <s v="Male"/>
    <n v="33"/>
    <x v="0"/>
    <s v="Tamil Nadu"/>
    <x v="4"/>
    <x v="1"/>
    <n v="1"/>
    <n v="123000"/>
    <n v="3"/>
    <n v="119310"/>
    <n v="17448.810000000001"/>
    <x v="4"/>
    <s v="Returned"/>
    <x v="0"/>
    <s v="No"/>
  </r>
  <r>
    <s v="RIDEZONE BIKE SHOWROOM"/>
    <x v="6"/>
    <x v="6"/>
    <s v="CUST2007"/>
    <s v="Rahul K"/>
    <s v="Male"/>
    <n v="45"/>
    <x v="4"/>
    <s v="Tamil Nadu"/>
    <x v="2"/>
    <x v="2"/>
    <n v="1"/>
    <n v="99000"/>
    <n v="3"/>
    <n v="96030"/>
    <n v="9935.48"/>
    <x v="0"/>
    <s v="Completed"/>
    <x v="4"/>
    <s v="Yes"/>
  </r>
  <r>
    <s v="RIDEZONE BIKE SHOWROOM"/>
    <x v="7"/>
    <x v="7"/>
    <s v="CUST2008"/>
    <s v="Divya M"/>
    <s v="Male"/>
    <n v="49"/>
    <x v="5"/>
    <s v="Tamil Nadu"/>
    <x v="2"/>
    <x v="0"/>
    <n v="1"/>
    <n v="98000"/>
    <n v="7"/>
    <n v="91140"/>
    <n v="13952.91"/>
    <x v="5"/>
    <s v="Cancelled"/>
    <x v="4"/>
    <s v="No"/>
  </r>
  <r>
    <s v="RIDEZONE BIKE SHOWROOM"/>
    <x v="8"/>
    <x v="8"/>
    <s v="CUST2009"/>
    <s v="Karthik Raj"/>
    <s v="Female"/>
    <n v="31"/>
    <x v="5"/>
    <s v="Tamil Nadu"/>
    <x v="5"/>
    <x v="2"/>
    <n v="1"/>
    <n v="197000"/>
    <n v="10"/>
    <n v="177300"/>
    <n v="17413.48"/>
    <x v="1"/>
    <s v="Cancelled"/>
    <x v="0"/>
    <s v="Yes"/>
  </r>
  <r>
    <s v="RIDEZONE BIKE SHOWROOM"/>
    <x v="9"/>
    <x v="9"/>
    <s v="CUST2010"/>
    <s v="Arun Kumar"/>
    <s v="Male"/>
    <n v="120"/>
    <x v="3"/>
    <s v="Tamil Nadu"/>
    <x v="6"/>
    <x v="0"/>
    <n v="1"/>
    <n v="233000"/>
    <n v="3"/>
    <n v="226010"/>
    <n v="19700.939999999999"/>
    <x v="6"/>
    <s v="Returned"/>
    <x v="4"/>
    <s v="Yes"/>
  </r>
  <r>
    <s v="RIDEZONE BIKE SHOWROOM"/>
    <x v="10"/>
    <x v="10"/>
    <s v="CUST2011"/>
    <s v="Suresh B"/>
    <s v="Female"/>
    <n v="33"/>
    <x v="6"/>
    <s v="Tamil Nadu"/>
    <x v="2"/>
    <x v="1"/>
    <n v="2"/>
    <n v="97000"/>
    <n v="3"/>
    <n v="188180"/>
    <n v="24575.75"/>
    <x v="6"/>
    <s v="Returned"/>
    <x v="5"/>
    <s v="No"/>
  </r>
  <r>
    <s v="RIDEZONE BIKE SHOWROOM"/>
    <x v="11"/>
    <x v="11"/>
    <s v="CUST2012"/>
    <s v="Arun Kumar"/>
    <s v="Male"/>
    <n v="34"/>
    <x v="1"/>
    <s v="Tamil Nadu"/>
    <x v="0"/>
    <x v="0"/>
    <n v="0"/>
    <n v="95000"/>
    <n v="0"/>
    <n v="95000"/>
    <n v="14193.28"/>
    <x v="3"/>
    <s v="Completed"/>
    <x v="4"/>
    <s v="No"/>
  </r>
  <r>
    <s v="RIDEZONE BIKE SHOWROOM"/>
    <x v="12"/>
    <x v="12"/>
    <s v="CUST2013"/>
    <s v="Suresh B"/>
    <s v="Female"/>
    <n v="50"/>
    <x v="1"/>
    <s v="Tamil Nadu"/>
    <x v="0"/>
    <x v="1"/>
    <n v="1"/>
    <n v="95000"/>
    <n v="2"/>
    <n v="93100"/>
    <n v="12852.73"/>
    <x v="3"/>
    <s v="Completed"/>
    <x v="4"/>
    <s v="No"/>
  </r>
  <r>
    <s v="RIDEZONE BIKE SHOWROOM"/>
    <x v="13"/>
    <x v="13"/>
    <s v="CUST2014"/>
    <s v="Vignesh P"/>
    <s v="Female"/>
    <n v="23"/>
    <x v="7"/>
    <s v="Tamil Nadu"/>
    <x v="4"/>
    <x v="0"/>
    <n v="1"/>
    <n v="127000"/>
    <n v="0"/>
    <n v="127000"/>
    <n v="17677.919999999998"/>
    <x v="3"/>
    <s v="Pending"/>
    <x v="0"/>
    <s v="No"/>
  </r>
  <r>
    <s v="RIDEZONE BIKE SHOWROOM"/>
    <x v="14"/>
    <x v="14"/>
    <s v="CUST2015"/>
    <s v="Karthik Raj"/>
    <s v="Male"/>
    <n v="48"/>
    <x v="7"/>
    <s v="Tamil Nadu"/>
    <x v="2"/>
    <x v="0"/>
    <n v="1"/>
    <n v="98000"/>
    <n v="2"/>
    <n v="96040"/>
    <n v="9316.0499999999993"/>
    <x v="6"/>
    <s v="Pending"/>
    <x v="0"/>
    <s v="No"/>
  </r>
  <r>
    <s v="RIDEZONE BIKE SHOWROOM"/>
    <x v="15"/>
    <x v="15"/>
    <s v="CUST2016"/>
    <s v="Divya M"/>
    <s v="Female"/>
    <n v="44"/>
    <x v="6"/>
    <s v="Tamil Nadu"/>
    <x v="3"/>
    <x v="3"/>
    <n v="1"/>
    <n v="175000"/>
    <n v="0"/>
    <n v="175000"/>
    <n v="35042.620000000003"/>
    <x v="4"/>
    <s v="Returned"/>
    <x v="0"/>
    <s v="Yes"/>
  </r>
  <r>
    <s v="RIDEZONE BIKE SHOWROOM"/>
    <x v="16"/>
    <x v="16"/>
    <s v="CUST2017"/>
    <s v="Arun Kumar"/>
    <s v="Female"/>
    <n v="23"/>
    <x v="1"/>
    <s v="Tamil Nadu"/>
    <x v="7"/>
    <x v="2"/>
    <n v="2"/>
    <n v="171000"/>
    <n v="10"/>
    <n v="307800"/>
    <n v="18788.310000000001"/>
    <x v="5"/>
    <s v="Completed"/>
    <x v="0"/>
    <s v="Yes"/>
  </r>
  <r>
    <s v="RIDEZONE BIKE SHOWROOM"/>
    <x v="17"/>
    <x v="17"/>
    <s v="CUST2018"/>
    <s v="Arun Kumar"/>
    <s v="Male"/>
    <n v="35"/>
    <x v="8"/>
    <s v="Tamil Nadu"/>
    <x v="6"/>
    <x v="1"/>
    <n v="1"/>
    <n v="234000"/>
    <n v="5"/>
    <n v="222300"/>
    <n v="36413.58"/>
    <x v="6"/>
    <s v="Cancelled"/>
    <x v="0"/>
    <s v="No"/>
  </r>
  <r>
    <s v="RIDEZONE BIKE SHOWROOM"/>
    <x v="18"/>
    <x v="18"/>
    <s v="CUST2019"/>
    <s v="Arun Kumar"/>
    <s v="Female"/>
    <n v="24"/>
    <x v="2"/>
    <s v="Tamil Nadu"/>
    <x v="8"/>
    <x v="0"/>
    <n v="1"/>
    <n v="127000"/>
    <n v="10"/>
    <n v="114300"/>
    <n v="10668.04"/>
    <x v="6"/>
    <s v="Pending"/>
    <x v="5"/>
    <s v="No"/>
  </r>
  <r>
    <s v="RIDEZONE BIKE SHOWROOM"/>
    <x v="19"/>
    <x v="19"/>
    <s v="CUST2020"/>
    <s v="Divya M"/>
    <s v="Male"/>
    <n v="54"/>
    <x v="3"/>
    <s v="Tamil Nadu"/>
    <x v="2"/>
    <x v="3"/>
    <n v="2"/>
    <n v="97000"/>
    <n v="3"/>
    <n v="188180"/>
    <n v="30225.49"/>
    <x v="6"/>
    <s v="Pending"/>
    <x v="1"/>
    <s v="Yes"/>
  </r>
  <r>
    <s v="RIDEZONE BIKE SHOWROOM"/>
    <x v="20"/>
    <x v="20"/>
    <s v="CUST2021"/>
    <s v="Santhosh R"/>
    <s v="Female"/>
    <n v="36"/>
    <x v="5"/>
    <s v="Tamil Nadu"/>
    <x v="0"/>
    <x v="0"/>
    <n v="1"/>
    <n v="96000"/>
    <n v="2"/>
    <n v="94080"/>
    <n v="10933.11"/>
    <x v="6"/>
    <s v="Returned"/>
    <x v="1"/>
    <s v="Yes"/>
  </r>
  <r>
    <s v="RIDEZONE BIKE SHOWROOM"/>
    <x v="21"/>
    <x v="21"/>
    <s v="CUST2022"/>
    <s v="Vignesh P"/>
    <s v="Male"/>
    <n v="55"/>
    <x v="3"/>
    <s v="Tamil Nadu"/>
    <x v="9"/>
    <x v="0"/>
    <n v="1"/>
    <n v="87000"/>
    <n v="3"/>
    <n v="84390"/>
    <n v="14843.08"/>
    <x v="6"/>
    <s v="Pending"/>
    <x v="5"/>
    <s v="Yes"/>
  </r>
  <r>
    <s v="RIDEZONE BIKE SHOWROOM"/>
    <x v="22"/>
    <x v="22"/>
    <s v="CUST2023"/>
    <s v="Suresh B"/>
    <s v="Male"/>
    <n v="42"/>
    <x v="5"/>
    <s v="Tamil Nadu"/>
    <x v="4"/>
    <x v="0"/>
    <n v="1"/>
    <n v="123000"/>
    <n v="3"/>
    <n v="119310"/>
    <n v="17987.740000000002"/>
    <x v="6"/>
    <s v="Returned"/>
    <x v="5"/>
    <s v="Yes"/>
  </r>
  <r>
    <s v="RIDEZONE BIKE SHOWROOM"/>
    <x v="23"/>
    <x v="23"/>
    <s v="CUST2024"/>
    <s v="Suresh B"/>
    <s v="Female"/>
    <n v="46"/>
    <x v="5"/>
    <s v="Tamil Nadu"/>
    <x v="8"/>
    <x v="2"/>
    <n v="2"/>
    <n v="124000"/>
    <n v="5"/>
    <n v="235600"/>
    <n v="41422.36"/>
    <x v="6"/>
    <s v="Returned"/>
    <x v="4"/>
    <s v="No"/>
  </r>
  <r>
    <s v="RIDEZONE BIKE SHOWROOM"/>
    <x v="24"/>
    <x v="24"/>
    <s v="CUST2025"/>
    <s v="Arun Kumar"/>
    <s v="Male"/>
    <n v="34"/>
    <x v="1"/>
    <s v="Tamil Nadu"/>
    <x v="8"/>
    <x v="1"/>
    <n v="1"/>
    <n v="125000"/>
    <n v="3"/>
    <n v="121250"/>
    <n v="19172.14"/>
    <x v="6"/>
    <s v=" completed "/>
    <x v="4"/>
    <s v="No"/>
  </r>
  <r>
    <s v="RIDEZONE BIKE SHOWROOM"/>
    <x v="25"/>
    <x v="25"/>
    <s v="CUST2026"/>
    <s v="Priya S"/>
    <s v="Female"/>
    <n v="0"/>
    <x v="7"/>
    <s v="Tamil Nadu"/>
    <x v="4"/>
    <x v="0"/>
    <n v="1"/>
    <n v="126000"/>
    <n v="3"/>
    <n v="122220"/>
    <n v="9738.73"/>
    <x v="6"/>
    <s v="Returned"/>
    <x v="1"/>
    <s v="No"/>
  </r>
  <r>
    <s v="RIDEZONE BIKE SHOWROOM"/>
    <x v="26"/>
    <x v="26"/>
    <s v="CUST2027"/>
    <s v="Suresh B"/>
    <s v="Female"/>
    <n v="20"/>
    <x v="8"/>
    <s v="Tamil Nadu"/>
    <x v="5"/>
    <x v="1"/>
    <n v="1"/>
    <n v="196000"/>
    <n v="2"/>
    <n v="192080"/>
    <n v="33208.93"/>
    <x v="6"/>
    <s v="Cancelled"/>
    <x v="5"/>
    <s v="No"/>
  </r>
  <r>
    <s v="RIDEZONE BIKE SHOWROOM"/>
    <x v="27"/>
    <x v="27"/>
    <s v="CUST2028"/>
    <s v=" Priya S "/>
    <s v="Male"/>
    <n v="55"/>
    <x v="2"/>
    <s v="Tamil Nadu"/>
    <x v="0"/>
    <x v="1"/>
    <n v="1"/>
    <n v="97000"/>
    <n v="5"/>
    <n v="92150"/>
    <n v="12693.23"/>
    <x v="4"/>
    <s v="Pending"/>
    <x v="5"/>
    <s v="No"/>
  </r>
  <r>
    <s v="RIDEZONE BIKE SHOWROOM"/>
    <x v="28"/>
    <x v="28"/>
    <s v="CUST2029"/>
    <s v=" Santhosh R "/>
    <s v="Female"/>
    <n v="49"/>
    <x v="0"/>
    <s v="Tamil Nadu"/>
    <x v="5"/>
    <x v="2"/>
    <n v="1"/>
    <n v="194000"/>
    <n v="0"/>
    <n v="184300"/>
    <n v="14687.53"/>
    <x v="2"/>
    <s v="Pending"/>
    <x v="3"/>
    <s v="Yes"/>
  </r>
  <r>
    <s v="RIDEZONE BIKE SHOWROOM"/>
    <x v="29"/>
    <x v="29"/>
    <s v="CUST2030"/>
    <s v="Arun Kumar"/>
    <s v="Male"/>
    <n v="29"/>
    <x v="3"/>
    <s v="Tamil Nadu"/>
    <x v="7"/>
    <x v="2"/>
    <n v="1"/>
    <n v="169000"/>
    <n v="10"/>
    <n v="152100"/>
    <n v="13984.69"/>
    <x v="2"/>
    <s v="Completed"/>
    <x v="2"/>
    <s v="No"/>
  </r>
  <r>
    <s v="RIDEZONE BIKE SHOWROOM"/>
    <x v="30"/>
    <x v="30"/>
    <s v="CUST2031"/>
    <s v="Karthik Raj"/>
    <s v="Female"/>
    <n v="20"/>
    <x v="1"/>
    <s v="Tamil Nadu"/>
    <x v="6"/>
    <x v="2"/>
    <n v="1"/>
    <n v="235000"/>
    <n v="5"/>
    <n v="223250"/>
    <n v="28679.79"/>
    <x v="1"/>
    <s v="Returned"/>
    <x v="4"/>
    <s v="Yes"/>
  </r>
  <r>
    <s v="RIDEZONE BIKE SHOWROOM"/>
    <x v="31"/>
    <x v="31"/>
    <s v="CUST2032"/>
    <s v="Santhosh R"/>
    <s v="Female"/>
    <n v="40"/>
    <x v="6"/>
    <s v="Tamil Nadu"/>
    <x v="0"/>
    <x v="1"/>
    <n v="1"/>
    <n v="95000"/>
    <n v="10"/>
    <n v="85500"/>
    <n v="5345.1"/>
    <x v="1"/>
    <s v="Returned"/>
    <x v="2"/>
    <s v="No"/>
  </r>
  <r>
    <s v="RIDEZONE BIKE SHOWROOM"/>
    <x v="32"/>
    <x v="32"/>
    <s v="CUST2033"/>
    <s v="Karthik Raj"/>
    <s v="Female"/>
    <n v="48"/>
    <x v="2"/>
    <s v="Tamil Nadu"/>
    <x v="8"/>
    <x v="2"/>
    <n v="1"/>
    <n v="126000"/>
    <n v="5"/>
    <n v="119700"/>
    <n v="11943.56"/>
    <x v="5"/>
    <s v="Cancelled"/>
    <x v="1"/>
    <s v="Yes"/>
  </r>
  <r>
    <s v="RIDEZONE BIKE SHOWROOM"/>
    <x v="33"/>
    <x v="33"/>
    <s v="CUST2034"/>
    <s v="Vignesh P"/>
    <s v="Female"/>
    <n v="46"/>
    <x v="5"/>
    <s v="Tamil Nadu"/>
    <x v="2"/>
    <x v="1"/>
    <n v="1"/>
    <n v="100000"/>
    <n v="2"/>
    <n v="98000"/>
    <n v="11522.97"/>
    <x v="4"/>
    <s v="Completed"/>
    <x v="0"/>
    <s v="No"/>
  </r>
  <r>
    <s v="RIDEZONE BIKE SHOWROOM"/>
    <x v="34"/>
    <x v="34"/>
    <s v="CUST2035"/>
    <s v="Vignesh P"/>
    <s v="Female"/>
    <n v="39"/>
    <x v="0"/>
    <s v="Tamil Nadu"/>
    <x v="5"/>
    <x v="2"/>
    <n v="0"/>
    <n v="196000"/>
    <n v="5"/>
    <n v="372400"/>
    <n v="44202.87"/>
    <x v="2"/>
    <s v="Pending"/>
    <x v="1"/>
    <s v="No"/>
  </r>
  <r>
    <s v="RIDEZONE BIKE SHOWROOM"/>
    <x v="35"/>
    <x v="35"/>
    <s v="CUST2036"/>
    <s v="Priya S"/>
    <s v="Male"/>
    <n v="49"/>
    <x v="0"/>
    <s v="Tamil Nadu"/>
    <x v="3"/>
    <x v="1"/>
    <n v="1"/>
    <n v="177000"/>
    <n v="10"/>
    <n v="159300"/>
    <n v="4287.46"/>
    <x v="5"/>
    <s v="Completed"/>
    <x v="3"/>
    <s v="No"/>
  </r>
  <r>
    <s v="RIDEZONE BIKE SHOWROOM"/>
    <x v="36"/>
    <x v="36"/>
    <s v="CUST2037"/>
    <s v="Rahul K"/>
    <s v="Female"/>
    <n v="40"/>
    <x v="6"/>
    <s v="Tamil Nadu"/>
    <x v="2"/>
    <x v="3"/>
    <n v="1"/>
    <n v="98000"/>
    <n v="5"/>
    <n v="93100"/>
    <n v="12810.33"/>
    <x v="4"/>
    <s v="Cancelled"/>
    <x v="4"/>
    <s v="No"/>
  </r>
  <r>
    <s v="RIDEZONE BIKE SHOWROOM"/>
    <x v="37"/>
    <x v="37"/>
    <s v="CUST2038"/>
    <s v="Suresh B"/>
    <s v="Male"/>
    <n v="21"/>
    <x v="0"/>
    <s v="Tamil Nadu"/>
    <x v="9"/>
    <x v="0"/>
    <n v="3"/>
    <n v="85000"/>
    <n v="2"/>
    <n v="249900"/>
    <n v="31105.59"/>
    <x v="1"/>
    <s v="Pending"/>
    <x v="0"/>
    <s v="No"/>
  </r>
  <r>
    <s v="RIDEZONE BIKE SHOWROOM"/>
    <x v="38"/>
    <x v="38"/>
    <s v="CUST2039"/>
    <s v="Divya M"/>
    <s v="Male"/>
    <n v="30"/>
    <x v="1"/>
    <s v="Tamil Nadu"/>
    <x v="10"/>
    <x v="0"/>
    <n v="1"/>
    <n v="95000"/>
    <n v="3"/>
    <n v="92150"/>
    <n v="16137.2"/>
    <x v="5"/>
    <s v="Returned"/>
    <x v="2"/>
    <s v="Yes"/>
  </r>
  <r>
    <s v="RIDEZONE BIKE SHOWROOM"/>
    <x v="39"/>
    <x v="39"/>
    <s v="CUST2040"/>
    <s v="Rahul K"/>
    <s v="Female"/>
    <n v="22"/>
    <x v="1"/>
    <s v="Tamil Nadu"/>
    <x v="0"/>
    <x v="3"/>
    <n v="1"/>
    <n v="95000"/>
    <n v="10"/>
    <n v="85500"/>
    <n v="4555.3100000000004"/>
    <x v="6"/>
    <s v="Cancelled"/>
    <x v="4"/>
    <s v="No"/>
  </r>
  <r>
    <s v="RIDEZONE BIKE SHOWROOM"/>
    <x v="40"/>
    <x v="40"/>
    <s v="CUST2041"/>
    <s v="Vignesh P"/>
    <s v="Male"/>
    <n v="29"/>
    <x v="8"/>
    <s v="Tamil Nadu"/>
    <x v="3"/>
    <x v="3"/>
    <n v="1"/>
    <n v="175000"/>
    <n v="10"/>
    <n v="157500"/>
    <n v="2276.92"/>
    <x v="2"/>
    <s v="Returned"/>
    <x v="2"/>
    <s v="No"/>
  </r>
  <r>
    <s v="RIDEZONE BIKE SHOWROOM"/>
    <x v="41"/>
    <x v="41"/>
    <s v="CUST2042"/>
    <s v="Vignesh P"/>
    <s v="Female"/>
    <n v="49"/>
    <x v="1"/>
    <s v="Tamil Nadu"/>
    <x v="4"/>
    <x v="0"/>
    <n v="1"/>
    <n v="123000"/>
    <n v="3"/>
    <n v="119310"/>
    <n v="10357.120000000001"/>
    <x v="2"/>
    <s v="Cancelled"/>
    <x v="0"/>
    <s v="No"/>
  </r>
  <r>
    <s v="RIDEZONE BIKE SHOWROOM"/>
    <x v="42"/>
    <x v="42"/>
    <s v="CUST2043"/>
    <s v="Arun Kumar"/>
    <s v="Male"/>
    <n v="55"/>
    <x v="3"/>
    <s v="Tamil Nadu"/>
    <x v="8"/>
    <x v="0"/>
    <n v="1"/>
    <n v="125000"/>
    <n v="3"/>
    <n v="121250"/>
    <n v="10545.2"/>
    <x v="3"/>
    <s v="Returned"/>
    <x v="2"/>
    <s v="Yes"/>
  </r>
  <r>
    <s v="RIDEZONE BIKE SHOWROOM"/>
    <x v="43"/>
    <x v="43"/>
    <s v="CUST2044"/>
    <s v="Divya M"/>
    <s v="Female"/>
    <n v="35"/>
    <x v="6"/>
    <s v="Tamil Nadu"/>
    <x v="3"/>
    <x v="1"/>
    <n v="0"/>
    <n v="173000"/>
    <n v="0"/>
    <n v="173000"/>
    <n v="31951.67"/>
    <x v="6"/>
    <s v="Returned"/>
    <x v="3"/>
    <s v="No"/>
  </r>
  <r>
    <s v="RIDEZONE BIKE SHOWROOM"/>
    <x v="44"/>
    <x v="44"/>
    <s v="CUST2045"/>
    <s v="Karthik Raj"/>
    <s v="Male"/>
    <n v="40"/>
    <x v="6"/>
    <s v="Tamil Nadu"/>
    <x v="4"/>
    <x v="2"/>
    <n v="1"/>
    <n v="125000"/>
    <n v="2"/>
    <n v="122500"/>
    <n v="23190.16"/>
    <x v="3"/>
    <s v="Returned"/>
    <x v="1"/>
    <s v="No"/>
  </r>
  <r>
    <s v="RIDEZONE BIKE SHOWROOM"/>
    <x v="45"/>
    <x v="45"/>
    <s v="CUST2046"/>
    <s v="Divya M"/>
    <s v="Male"/>
    <n v="28"/>
    <x v="1"/>
    <s v="Tamil Nadu"/>
    <x v="0"/>
    <x v="0"/>
    <n v="1"/>
    <n v="95000"/>
    <n v="2"/>
    <n v="93100"/>
    <n v="15554.15"/>
    <x v="5"/>
    <s v="Pending"/>
    <x v="3"/>
    <s v="No"/>
  </r>
  <r>
    <s v="RIDEZONE BIKE SHOWROOM"/>
    <x v="46"/>
    <x v="46"/>
    <s v="CUST2047"/>
    <s v="Divya M"/>
    <s v="Female"/>
    <n v="23"/>
    <x v="0"/>
    <s v="Tamil Nadu"/>
    <x v="0"/>
    <x v="0"/>
    <n v="1"/>
    <n v="95000"/>
    <n v="5"/>
    <n v="90250"/>
    <n v="11128.66"/>
    <x v="6"/>
    <s v="Returned"/>
    <x v="2"/>
    <s v="Yes"/>
  </r>
  <r>
    <s v="RIDEZONE BIKE SHOWROOM"/>
    <x v="47"/>
    <x v="47"/>
    <s v="CUST2048"/>
    <s v="Vignesh P"/>
    <s v="Male"/>
    <n v="27"/>
    <x v="0"/>
    <s v="Tamil Nadu"/>
    <x v="6"/>
    <x v="1"/>
    <n v="1"/>
    <n v="236000"/>
    <n v="3"/>
    <n v="228920"/>
    <n v="42427.68"/>
    <x v="2"/>
    <s v="Returned"/>
    <x v="1"/>
    <s v="No"/>
  </r>
  <r>
    <s v="RIDEZONE BIKE SHOWROOM"/>
    <x v="48"/>
    <x v="48"/>
    <s v="CUST2049"/>
    <s v="Divya M"/>
    <s v="Male"/>
    <n v="33"/>
    <x v="0"/>
    <s v="Tamil Nadu"/>
    <x v="7"/>
    <x v="2"/>
    <n v="1"/>
    <n v="172000"/>
    <n v="0"/>
    <n v="172000"/>
    <n v="18281.740000000002"/>
    <x v="3"/>
    <s v="Pending"/>
    <x v="5"/>
    <s v="Yes"/>
  </r>
  <r>
    <s v="RIDEZONE BIKE SHOWROOM"/>
    <x v="49"/>
    <x v="49"/>
    <s v="CUST2050"/>
    <s v="Divya M"/>
    <s v="Female"/>
    <n v="34"/>
    <x v="0"/>
    <s v="Tamil Nadu"/>
    <x v="2"/>
    <x v="1"/>
    <n v="1"/>
    <n v="100000"/>
    <n v="7"/>
    <n v="93000"/>
    <n v="9361.0499999999993"/>
    <x v="6"/>
    <s v="Pending"/>
    <x v="1"/>
    <s v="Yes"/>
  </r>
  <r>
    <s v="RIDEZONE BIKE SHOWROOM"/>
    <x v="50"/>
    <x v="50"/>
    <s v="CUST2051"/>
    <s v="Arun Kumar"/>
    <s v="Male"/>
    <n v="24"/>
    <x v="8"/>
    <s v="Tamil Nadu"/>
    <x v="5"/>
    <x v="3"/>
    <n v="1"/>
    <n v="197000"/>
    <n v="2"/>
    <n v="193060"/>
    <n v="17925.150000000001"/>
    <x v="5"/>
    <s v="Returned"/>
    <x v="4"/>
    <s v="No"/>
  </r>
  <r>
    <s v="RIDEZONE BIKE SHOWROOM"/>
    <x v="51"/>
    <x v="51"/>
    <s v="CUST2052"/>
    <s v="Vignesh P"/>
    <s v="Female"/>
    <n v="22"/>
    <x v="7"/>
    <s v="Tamil Nadu"/>
    <x v="7"/>
    <x v="3"/>
    <n v="2"/>
    <n v="171000"/>
    <n v="7"/>
    <n v="318060"/>
    <n v="31034.639999999999"/>
    <x v="5"/>
    <s v="Completed"/>
    <x v="0"/>
    <s v="Yes"/>
  </r>
  <r>
    <s v="RIDEZONE BIKE SHOWROOM"/>
    <x v="52"/>
    <x v="21"/>
    <s v="CUST2053"/>
    <s v="Priya S"/>
    <s v="Female"/>
    <n v="37"/>
    <x v="0"/>
    <s v="Tamil Nadu"/>
    <x v="7"/>
    <x v="1"/>
    <n v="1"/>
    <n v="169000"/>
    <n v="5"/>
    <n v="160550"/>
    <n v="18205.41"/>
    <x v="6"/>
    <s v="Returned"/>
    <x v="1"/>
    <s v="No"/>
  </r>
  <r>
    <s v="RIDEZONE BIKE SHOWROOM"/>
    <x v="53"/>
    <x v="52"/>
    <s v="CUST2054"/>
    <s v="Vignesh P"/>
    <s v="Male"/>
    <n v="38"/>
    <x v="3"/>
    <s v="Tamil Nadu"/>
    <x v="4"/>
    <x v="1"/>
    <n v="1"/>
    <n v="124000"/>
    <n v="3"/>
    <n v="120280"/>
    <n v="17434.72"/>
    <x v="6"/>
    <s v="Cancelled"/>
    <x v="1"/>
    <s v="No"/>
  </r>
  <r>
    <s v="RIDEZONE BIKE SHOWROOM"/>
    <x v="54"/>
    <x v="53"/>
    <s v="CUST2055"/>
    <s v="Arun Kumar"/>
    <s v="Male"/>
    <n v="46"/>
    <x v="9"/>
    <s v="Tamil Nadu"/>
    <x v="0"/>
    <x v="3"/>
    <n v="2"/>
    <n v="93000"/>
    <n v="10"/>
    <n v="167400"/>
    <n v="2915.72"/>
    <x v="0"/>
    <s v="Returned"/>
    <x v="4"/>
    <s v="Yes"/>
  </r>
  <r>
    <s v="RIDEZONE BIKE SHOWROOM"/>
    <x v="55"/>
    <x v="54"/>
    <s v="CUST2056"/>
    <s v="Priya S"/>
    <s v="Female"/>
    <n v="35"/>
    <x v="10"/>
    <s v="Tamil Nadu"/>
    <x v="7"/>
    <x v="0"/>
    <n v="2"/>
    <n v="170000"/>
    <n v="10"/>
    <n v="306000"/>
    <n v="21023.759999999998"/>
    <x v="4"/>
    <s v="Completed"/>
    <x v="0"/>
    <s v="Yes"/>
  </r>
  <r>
    <s v="RIDEZONE BIKE SHOWROOM"/>
    <x v="56"/>
    <x v="55"/>
    <s v="CUST2057"/>
    <s v="Divya M"/>
    <s v="Female"/>
    <n v="0"/>
    <x v="11"/>
    <s v="Tamil Nadu"/>
    <x v="3"/>
    <x v="1"/>
    <n v="1"/>
    <n v="174000"/>
    <n v="5"/>
    <n v="165300"/>
    <n v="10106.200000000001"/>
    <x v="2"/>
    <s v="Pending"/>
    <x v="2"/>
    <s v="Yes"/>
  </r>
  <r>
    <s v="RIDEZONE BIKE SHOWROOM"/>
    <x v="57"/>
    <x v="3"/>
    <s v="CUST2058"/>
    <s v="Vignesh P"/>
    <s v="Female"/>
    <n v="37"/>
    <x v="1"/>
    <s v="Tamil Nadu"/>
    <x v="5"/>
    <x v="3"/>
    <n v="2"/>
    <n v="196000"/>
    <n v="10"/>
    <n v="352800"/>
    <n v="5676.49"/>
    <x v="5"/>
    <s v="Cancelled"/>
    <x v="3"/>
    <s v="No"/>
  </r>
  <r>
    <s v="RIDEZONE BIKE SHOWROOM"/>
    <x v="58"/>
    <x v="23"/>
    <s v="CUST2059"/>
    <s v="Vignesh P"/>
    <s v="Female"/>
    <n v="55"/>
    <x v="6"/>
    <s v="Tamil Nadu"/>
    <x v="6"/>
    <x v="3"/>
    <n v="2"/>
    <n v="235000"/>
    <n v="7"/>
    <n v="437100"/>
    <n v="43183.15"/>
    <x v="3"/>
    <s v="Pending"/>
    <x v="5"/>
    <s v="No"/>
  </r>
  <r>
    <s v="RIDEZONE BIKE SHOWROOM"/>
    <x v="59"/>
    <x v="7"/>
    <s v="CUST2060"/>
    <s v="Priya S"/>
    <s v="Female"/>
    <n v="44"/>
    <x v="7"/>
    <s v="Tamil Nadu"/>
    <x v="8"/>
    <x v="0"/>
    <n v="1"/>
    <n v="127000"/>
    <n v="5"/>
    <n v="120650"/>
    <n v="10842.33"/>
    <x v="1"/>
    <s v="Cancelled"/>
    <x v="4"/>
    <s v="No"/>
  </r>
  <r>
    <s v="RIDEZONE BIKE SHOWROOM"/>
    <x v="60"/>
    <x v="56"/>
    <s v="CUST2061"/>
    <s v="Santhosh R"/>
    <s v="Female"/>
    <n v="24"/>
    <x v="6"/>
    <s v="Tamil Nadu"/>
    <x v="0"/>
    <x v="3"/>
    <n v="1"/>
    <n v="94000"/>
    <n v="5"/>
    <n v="89300"/>
    <n v="6155.88"/>
    <x v="4"/>
    <s v="Completed"/>
    <x v="1"/>
    <s v="No"/>
  </r>
  <r>
    <s v="RIDEZONE BIKE SHOWROOM"/>
    <x v="61"/>
    <x v="57"/>
    <s v="CUST2062"/>
    <s v="Karthik Raj"/>
    <s v="Female"/>
    <n v="34"/>
    <x v="6"/>
    <s v="Tamil Nadu"/>
    <x v="4"/>
    <x v="0"/>
    <n v="2"/>
    <n v="123000"/>
    <n v="7"/>
    <n v="228780"/>
    <n v="34880.22"/>
    <x v="6"/>
    <s v="Returned"/>
    <x v="0"/>
    <s v="No"/>
  </r>
  <r>
    <s v="RIDEZONE BIKE SHOWROOM"/>
    <x v="62"/>
    <x v="58"/>
    <s v="CUST2063"/>
    <s v="Suresh B"/>
    <s v="Female"/>
    <n v="29"/>
    <x v="12"/>
    <s v="Tamil Nadu"/>
    <x v="9"/>
    <x v="2"/>
    <n v="1"/>
    <n v="83000"/>
    <n v="3"/>
    <n v="80510"/>
    <n v="12199.71"/>
    <x v="1"/>
    <s v="Pending"/>
    <x v="4"/>
    <s v="No"/>
  </r>
  <r>
    <s v="RIDEZONE BIKE SHOWROOM"/>
    <x v="63"/>
    <x v="59"/>
    <s v="CUST2064"/>
    <s v="Divya M"/>
    <s v="Male"/>
    <n v="49"/>
    <x v="1"/>
    <s v="Tamil Nadu"/>
    <x v="11"/>
    <x v="1"/>
    <n v="1"/>
    <n v="236000"/>
    <n v="2"/>
    <n v="231280"/>
    <n v="40624.42"/>
    <x v="5"/>
    <s v="Pending"/>
    <x v="4"/>
    <s v="No"/>
  </r>
  <r>
    <s v="RIDEZONE BIKE SHOWROOM"/>
    <x v="64"/>
    <x v="60"/>
    <s v="CUST2065"/>
    <s v="Vignesh P"/>
    <s v="Female"/>
    <n v="32"/>
    <x v="2"/>
    <s v="Tamil Nadu"/>
    <x v="4"/>
    <x v="0"/>
    <n v="1"/>
    <n v="125000"/>
    <n v="10"/>
    <n v="112500"/>
    <n v="11248.53"/>
    <x v="3"/>
    <s v="Returned"/>
    <x v="5"/>
    <s v="No"/>
  </r>
  <r>
    <s v="RIDEZONE BIKE SHOWROOM"/>
    <x v="65"/>
    <x v="61"/>
    <s v="CUST2066"/>
    <s v="Arun Kumar"/>
    <s v="Male"/>
    <n v="37"/>
    <x v="2"/>
    <s v="Tamil Nadu"/>
    <x v="11"/>
    <x v="1"/>
    <n v="3"/>
    <n v="235000"/>
    <n v="0"/>
    <n v="705000"/>
    <n v="72365.899999999994"/>
    <x v="5"/>
    <s v="Pending"/>
    <x v="5"/>
    <s v="No"/>
  </r>
  <r>
    <s v="RIDEZONE BIKE SHOWROOM"/>
    <x v="66"/>
    <x v="62"/>
    <s v="CUST2067"/>
    <s v="Arun Kumar"/>
    <s v="Female"/>
    <n v="26"/>
    <x v="1"/>
    <s v="Tamil Nadu"/>
    <x v="8"/>
    <x v="1"/>
    <n v="1"/>
    <n v="127000"/>
    <n v="10"/>
    <n v="114300"/>
    <n v="3543.75"/>
    <x v="5"/>
    <s v="Cancelled"/>
    <x v="3"/>
    <s v="Yes"/>
  </r>
  <r>
    <s v="RIDEZONE BIKE SHOWROOM"/>
    <x v="67"/>
    <x v="63"/>
    <s v="CUST2068"/>
    <s v="Divya M"/>
    <s v="Male"/>
    <n v="43"/>
    <x v="2"/>
    <s v="Tamil Nadu"/>
    <x v="0"/>
    <x v="3"/>
    <n v="1"/>
    <n v="95000"/>
    <n v="2"/>
    <n v="93100"/>
    <n v="16710.939999999999"/>
    <x v="2"/>
    <s v="Cancelled"/>
    <x v="3"/>
    <s v="No"/>
  </r>
  <r>
    <s v="RIDEZONE BIKE SHOWROOM"/>
    <x v="68"/>
    <x v="64"/>
    <s v="CUST2069"/>
    <s v="Rahul K"/>
    <s v="Male"/>
    <n v="55"/>
    <x v="6"/>
    <s v="Tamil Nadu"/>
    <x v="0"/>
    <x v="1"/>
    <n v="2"/>
    <n v="94000"/>
    <n v="2"/>
    <n v="184240"/>
    <n v="18195.23"/>
    <x v="0"/>
    <s v="Cancelled"/>
    <x v="5"/>
    <s v="Yes"/>
  </r>
  <r>
    <s v="RIDEZONE BIKE SHOWROOM"/>
    <x v="69"/>
    <x v="65"/>
    <s v="CUST2070"/>
    <s v="Suresh B"/>
    <s v="Female"/>
    <n v="26"/>
    <x v="3"/>
    <s v="Tamil Nadu"/>
    <x v="3"/>
    <x v="0"/>
    <n v="1"/>
    <n v="177000"/>
    <n v="3"/>
    <n v="171690"/>
    <n v="21213.94"/>
    <x v="7"/>
    <s v="Pending"/>
    <x v="3"/>
    <s v="Yes"/>
  </r>
  <r>
    <s v="RIDEZONE BIKE SHOWROOM"/>
    <x v="70"/>
    <x v="66"/>
    <s v="CUST2071"/>
    <s v="Santhosh R"/>
    <s v="Male"/>
    <n v="39"/>
    <x v="2"/>
    <s v="Tamil Nadu"/>
    <x v="3"/>
    <x v="0"/>
    <n v="1"/>
    <n v="173000"/>
    <n v="2"/>
    <n v="169540"/>
    <n v="33658.6"/>
    <x v="3"/>
    <s v="Pending"/>
    <x v="2"/>
    <s v="No"/>
  </r>
  <r>
    <s v="RIDEZONE BIKE SHOWROOM"/>
    <x v="71"/>
    <x v="67"/>
    <s v="CUST2072"/>
    <s v="Vignesh P"/>
    <s v="Female"/>
    <n v="51"/>
    <x v="7"/>
    <s v="Tamil Nadu"/>
    <x v="4"/>
    <x v="0"/>
    <n v="1"/>
    <n v="127000"/>
    <n v="2"/>
    <n v="124460"/>
    <n v="11906.29"/>
    <x v="6"/>
    <s v="Pending"/>
    <x v="2"/>
    <s v="No"/>
  </r>
  <r>
    <s v="RIDEZONE BIKE SHOWROOM"/>
    <x v="72"/>
    <x v="68"/>
    <s v="CUST2073"/>
    <s v="Vignesh P"/>
    <s v="Female"/>
    <n v="23"/>
    <x v="3"/>
    <s v="Tamil Nadu"/>
    <x v="8"/>
    <x v="2"/>
    <n v="1"/>
    <n v="127000"/>
    <n v="3"/>
    <n v="123190"/>
    <n v="15832.34"/>
    <x v="6"/>
    <s v="Returned"/>
    <x v="4"/>
    <s v="Yes"/>
  </r>
  <r>
    <s v="RIDEZONE BIKE SHOWROOM"/>
    <x v="73"/>
    <x v="69"/>
    <s v="CUST2074"/>
    <s v="Karthik Raj"/>
    <s v="Male"/>
    <n v="33"/>
    <x v="0"/>
    <s v="Tamil Nadu"/>
    <x v="6"/>
    <x v="2"/>
    <n v="1"/>
    <n v="235000"/>
    <n v="2"/>
    <n v="230300"/>
    <n v="19115.25"/>
    <x v="3"/>
    <s v="Cancelled"/>
    <x v="0"/>
    <s v="Yes"/>
  </r>
  <r>
    <s v="RIDEZONE BIKE SHOWROOM"/>
    <x v="74"/>
    <x v="70"/>
    <s v="CUST2075"/>
    <s v="Priya S"/>
    <s v="Male"/>
    <n v="21"/>
    <x v="5"/>
    <s v="Tamil Nadu"/>
    <x v="12"/>
    <x v="3"/>
    <n v="3"/>
    <n v="171000"/>
    <n v="3"/>
    <n v="497610"/>
    <n v="48313.49"/>
    <x v="3"/>
    <s v="Cancelled"/>
    <x v="4"/>
    <s v="Yes"/>
  </r>
  <r>
    <s v="RIDEZONE BIKE SHOWROOM"/>
    <x v="75"/>
    <x v="33"/>
    <s v="CUST2076"/>
    <s v="Santhosh R"/>
    <s v="Female"/>
    <n v="50"/>
    <x v="0"/>
    <s v="Tamil Nadu"/>
    <x v="7"/>
    <x v="0"/>
    <n v="1"/>
    <n v="170000"/>
    <n v="7"/>
    <n v="158100"/>
    <n v="23181.55"/>
    <x v="2"/>
    <s v="Pending"/>
    <x v="5"/>
    <s v="Yes"/>
  </r>
  <r>
    <s v="RIDEZONE BIKE SHOWROOM"/>
    <x v="76"/>
    <x v="71"/>
    <s v="CUST2077"/>
    <s v="Karthik Raj"/>
    <s v="Female"/>
    <n v="47"/>
    <x v="2"/>
    <s v="Tamil Nadu"/>
    <x v="1"/>
    <x v="1"/>
    <n v="1"/>
    <n v="113000"/>
    <n v="0"/>
    <n v="113000"/>
    <n v="11319.16"/>
    <x v="6"/>
    <s v="Completed"/>
    <x v="1"/>
    <s v="Yes"/>
  </r>
  <r>
    <s v="RIDEZONE BIKE SHOWROOM"/>
    <x v="77"/>
    <x v="72"/>
    <s v="CUST2078"/>
    <s v="Divya M"/>
    <s v="Female"/>
    <n v="44"/>
    <x v="5"/>
    <s v="Tamil Nadu"/>
    <x v="0"/>
    <x v="1"/>
    <n v="1"/>
    <n v="97000"/>
    <n v="7"/>
    <n v="90210"/>
    <n v="8167.13"/>
    <x v="6"/>
    <s v="Completed"/>
    <x v="3"/>
    <s v="Yes"/>
  </r>
  <r>
    <s v="RIDEZONE BIKE SHOWROOM"/>
    <x v="78"/>
    <x v="73"/>
    <s v="CUST2079"/>
    <s v="Karthik Raj"/>
    <s v="Female"/>
    <n v="46"/>
    <x v="6"/>
    <s v="Tamil Nadu"/>
    <x v="5"/>
    <x v="1"/>
    <n v="2"/>
    <n v="195000"/>
    <n v="3"/>
    <n v="378300"/>
    <n v="35376.78"/>
    <x v="6"/>
    <s v="Cancelled"/>
    <x v="1"/>
    <s v="Yes"/>
  </r>
  <r>
    <s v="RIDEZONE BIKE SHOWROOM"/>
    <x v="79"/>
    <x v="74"/>
    <s v="CUST2080"/>
    <s v="Arun Kumar"/>
    <s v="Female"/>
    <n v="28"/>
    <x v="8"/>
    <s v="Tamil Nadu"/>
    <x v="3"/>
    <x v="0"/>
    <n v="1"/>
    <n v="173000"/>
    <n v="0"/>
    <n v="173000"/>
    <n v="29094.240000000002"/>
    <x v="4"/>
    <s v="Cancelled"/>
    <x v="3"/>
    <s v="No"/>
  </r>
  <r>
    <s v="RIDEZONE BIKE SHOWROOM"/>
    <x v="80"/>
    <x v="75"/>
    <s v="CUST2081"/>
    <s v="Santhosh R"/>
    <s v="Male"/>
    <n v="29"/>
    <x v="2"/>
    <s v="Tamil Nadu"/>
    <x v="9"/>
    <x v="0"/>
    <n v="1"/>
    <n v="85000"/>
    <n v="0"/>
    <n v="85000"/>
    <n v="12805.23"/>
    <x v="6"/>
    <s v="Cancelled"/>
    <x v="4"/>
    <s v="No"/>
  </r>
  <r>
    <s v="RIDEZONE BIKE SHOWROOM"/>
    <x v="81"/>
    <x v="76"/>
    <s v="CUST2082"/>
    <s v="Divya M"/>
    <s v="Male"/>
    <n v="21"/>
    <x v="1"/>
    <s v="Tamil Nadu"/>
    <x v="6"/>
    <x v="2"/>
    <n v="1"/>
    <n v="236000"/>
    <n v="7"/>
    <n v="219480"/>
    <n v="18023.599999999999"/>
    <x v="5"/>
    <s v="Cancelled"/>
    <x v="1"/>
    <s v="No"/>
  </r>
  <r>
    <s v="RIDEZONE BIKE SHOWROOM"/>
    <x v="82"/>
    <x v="50"/>
    <s v="CUST2083"/>
    <s v="Karthik Raj"/>
    <s v="Male"/>
    <n v="21"/>
    <x v="5"/>
    <s v="Tamil Nadu"/>
    <x v="9"/>
    <x v="1"/>
    <n v="2"/>
    <n v="86000"/>
    <n v="10"/>
    <n v="154800"/>
    <n v="12367.81"/>
    <x v="4"/>
    <s v="Returned"/>
    <x v="1"/>
    <s v="Yes"/>
  </r>
  <r>
    <s v="RIDEZONE BIKE SHOWROOM"/>
    <x v="83"/>
    <x v="77"/>
    <s v="CUST2084"/>
    <s v="Priya S"/>
    <s v="Male"/>
    <n v="29"/>
    <x v="2"/>
    <s v="Tamil Nadu"/>
    <x v="4"/>
    <x v="0"/>
    <n v="1"/>
    <n v="126000"/>
    <n v="7"/>
    <n v="117180"/>
    <n v="17615.45"/>
    <x v="5"/>
    <s v="Returned"/>
    <x v="3"/>
    <s v="No"/>
  </r>
  <r>
    <s v="RIDEZONE BIKE SHOWROOM"/>
    <x v="84"/>
    <x v="78"/>
    <s v="CUST2085"/>
    <s v="Divya M"/>
    <s v="Female"/>
    <n v="27"/>
    <x v="6"/>
    <s v="Tamil Nadu"/>
    <x v="3"/>
    <x v="3"/>
    <n v="1"/>
    <n v="174000"/>
    <n v="7"/>
    <n v="161820"/>
    <n v="23723.49"/>
    <x v="5"/>
    <s v="Pending"/>
    <x v="2"/>
    <s v="Yes"/>
  </r>
  <r>
    <s v="RIDEZONE BIKE SHOWROOM"/>
    <x v="85"/>
    <x v="79"/>
    <s v="CUST2086"/>
    <s v="Karthik Raj"/>
    <s v="Male"/>
    <n v="40"/>
    <x v="1"/>
    <s v="Tamil Nadu"/>
    <x v="9"/>
    <x v="1"/>
    <n v="1"/>
    <n v="84000"/>
    <n v="2"/>
    <n v="82320"/>
    <n v="9097.26"/>
    <x v="4"/>
    <s v="Pending"/>
    <x v="0"/>
    <s v="No"/>
  </r>
  <r>
    <s v="RIDEZONE BIKE SHOWROOM"/>
    <x v="86"/>
    <x v="80"/>
    <s v="CUST2087"/>
    <s v="Arun Kumar"/>
    <s v="Female"/>
    <n v="47"/>
    <x v="4"/>
    <s v="Tamil Nadu"/>
    <x v="1"/>
    <x v="0"/>
    <n v="1"/>
    <n v="117000"/>
    <n v="3"/>
    <n v="113490"/>
    <n v="21218.06"/>
    <x v="6"/>
    <s v="Returned"/>
    <x v="5"/>
    <s v="No"/>
  </r>
  <r>
    <s v="RIDEZONE BIKE SHOWROOM"/>
    <x v="87"/>
    <x v="81"/>
    <s v="CUST2088"/>
    <s v="Karthik Raj"/>
    <s v="Female"/>
    <n v="43"/>
    <x v="2"/>
    <s v="Tamil Nadu"/>
    <x v="5"/>
    <x v="0"/>
    <n v="1"/>
    <n v="193000"/>
    <n v="3"/>
    <n v="187210"/>
    <n v="32689.42"/>
    <x v="3"/>
    <s v="Returned"/>
    <x v="5"/>
    <s v="No"/>
  </r>
  <r>
    <s v="RIDEZONE BIKE SHOWROOM"/>
    <x v="88"/>
    <x v="82"/>
    <s v="CUST2089"/>
    <s v="Karthik Raj"/>
    <s v="Male"/>
    <n v="30"/>
    <x v="8"/>
    <s v="Tamil Nadu"/>
    <x v="1"/>
    <x v="2"/>
    <n v="1"/>
    <n v="115000"/>
    <n v="10"/>
    <n v="103500"/>
    <n v="9114.7199999999993"/>
    <x v="6"/>
    <s v=" completed "/>
    <x v="3"/>
    <s v="Yes"/>
  </r>
  <r>
    <s v="RIDEZONE BIKE SHOWROOM"/>
    <x v="89"/>
    <x v="14"/>
    <s v="CUST2090"/>
    <s v="Santhosh R"/>
    <s v="Female"/>
    <n v="31"/>
    <x v="8"/>
    <s v="Tamil Nadu"/>
    <x v="8"/>
    <x v="1"/>
    <n v="1"/>
    <n v="124000"/>
    <n v="2"/>
    <n v="121520"/>
    <n v="15836.3"/>
    <x v="6"/>
    <s v="Cancelled"/>
    <x v="0"/>
    <s v="No"/>
  </r>
  <r>
    <s v="RIDEZONE BIKE SHOWROOM"/>
    <x v="90"/>
    <x v="34"/>
    <s v="CUST2091"/>
    <s v=" Karthik Raj "/>
    <s v="Female"/>
    <n v="52"/>
    <x v="6"/>
    <s v="Tamil Nadu"/>
    <x v="0"/>
    <x v="1"/>
    <n v="1"/>
    <n v="95000"/>
    <n v="3"/>
    <n v="92150"/>
    <n v="11307.81"/>
    <x v="2"/>
    <s v="Completed"/>
    <x v="4"/>
    <s v="No"/>
  </r>
  <r>
    <s v="RIDEZONE BIKE SHOWROOM"/>
    <x v="91"/>
    <x v="83"/>
    <s v="CUST2092"/>
    <s v="Arun Kumar"/>
    <s v="Female"/>
    <n v="49"/>
    <x v="8"/>
    <s v="Tamil Nadu"/>
    <x v="7"/>
    <x v="2"/>
    <n v="1"/>
    <n v="168000"/>
    <n v="7"/>
    <n v="156240"/>
    <n v="13223.35"/>
    <x v="6"/>
    <s v="Returned"/>
    <x v="5"/>
    <s v="Yes"/>
  </r>
  <r>
    <s v="RIDEZONE BIKE SHOWROOM"/>
    <x v="92"/>
    <x v="84"/>
    <s v="CUST2093"/>
    <s v="Suresh B"/>
    <s v="Female"/>
    <n v="22"/>
    <x v="6"/>
    <s v="Tamil Nadu"/>
    <x v="9"/>
    <x v="1"/>
    <n v="1"/>
    <n v="85000"/>
    <n v="10"/>
    <n v="76500"/>
    <n v="9339.84"/>
    <x v="1"/>
    <s v="Cancelled"/>
    <x v="1"/>
    <s v="No"/>
  </r>
  <r>
    <s v="RIDEZONE BIKE SHOWROOM"/>
    <x v="93"/>
    <x v="85"/>
    <s v="CUST2094"/>
    <s v="Rahul K"/>
    <s v="Male"/>
    <n v="24"/>
    <x v="7"/>
    <s v="Tamil Nadu"/>
    <x v="5"/>
    <x v="1"/>
    <n v="1"/>
    <n v="197000"/>
    <n v="7"/>
    <n v="183210"/>
    <n v="28312.080000000002"/>
    <x v="5"/>
    <s v="Cancelled"/>
    <x v="3"/>
    <s v="Yes"/>
  </r>
  <r>
    <s v="RIDEZONE BIKE SHOWROOM"/>
    <x v="94"/>
    <x v="86"/>
    <s v="CUST2095"/>
    <s v="Karthik Raj"/>
    <s v="Female"/>
    <n v="28"/>
    <x v="8"/>
    <s v="Tamil Nadu"/>
    <x v="4"/>
    <x v="1"/>
    <n v="1"/>
    <n v="124000"/>
    <n v="3"/>
    <n v="120280"/>
    <n v="18943.75"/>
    <x v="6"/>
    <s v="Pending"/>
    <x v="3"/>
    <s v="Yes"/>
  </r>
  <r>
    <s v="RIDEZONE BIKE SHOWROOM"/>
    <x v="95"/>
    <x v="87"/>
    <s v="CUST2096"/>
    <s v="Suresh B"/>
    <s v="Male"/>
    <n v="51"/>
    <x v="3"/>
    <s v="Tamil Nadu"/>
    <x v="5"/>
    <x v="2"/>
    <n v="1"/>
    <n v="195000"/>
    <n v="2"/>
    <n v="191100"/>
    <n v="16742.64"/>
    <x v="1"/>
    <s v="Completed"/>
    <x v="1"/>
    <s v="Yes"/>
  </r>
  <r>
    <s v="RIDEZONE BIKE SHOWROOM"/>
    <x v="96"/>
    <x v="88"/>
    <s v="CUST2097"/>
    <s v="Priya S"/>
    <s v="Male"/>
    <n v="30"/>
    <x v="0"/>
    <s v="Tamil Nadu"/>
    <x v="1"/>
    <x v="1"/>
    <n v="1"/>
    <n v="116000"/>
    <n v="2"/>
    <n v="113680"/>
    <n v="14886.33"/>
    <x v="5"/>
    <s v="Returned"/>
    <x v="1"/>
    <s v="Yes"/>
  </r>
  <r>
    <s v="RIDEZONE BIKE SHOWROOM"/>
    <x v="97"/>
    <x v="89"/>
    <s v="CUST2098"/>
    <s v="Suresh B"/>
    <s v="Female"/>
    <n v="50"/>
    <x v="2"/>
    <s v="Tamil Nadu"/>
    <x v="3"/>
    <x v="1"/>
    <n v="1"/>
    <n v="175000"/>
    <n v="2"/>
    <n v="171500"/>
    <n v="23785.77"/>
    <x v="2"/>
    <s v="Cancelled"/>
    <x v="2"/>
    <s v="No"/>
  </r>
  <r>
    <s v="RIDEZONE BIKE SHOWROOM"/>
    <x v="98"/>
    <x v="90"/>
    <s v="CUST2099"/>
    <s v=" Karthik Raj "/>
    <s v="Male"/>
    <n v="43"/>
    <x v="1"/>
    <s v="Tamil Nadu"/>
    <x v="2"/>
    <x v="3"/>
    <n v="1"/>
    <n v="97000"/>
    <n v="3"/>
    <n v="94090"/>
    <n v="17822.63"/>
    <x v="6"/>
    <s v=" completed "/>
    <x v="1"/>
    <s v="No"/>
  </r>
  <r>
    <s v="RIDEZONE BIKE SHOWROOM"/>
    <x v="99"/>
    <x v="91"/>
    <s v="CUST2100"/>
    <s v="Vignesh P"/>
    <s v="Male"/>
    <n v="0"/>
    <x v="10"/>
    <s v="Tamil Nadu"/>
    <x v="1"/>
    <x v="1"/>
    <n v="1"/>
    <n v="113000"/>
    <n v="2"/>
    <n v="110740"/>
    <n v="11525.5"/>
    <x v="6"/>
    <s v="Pending"/>
    <x v="2"/>
    <s v="Yes"/>
  </r>
  <r>
    <s v="RIDEZONE BIKE SHOWROOM"/>
    <x v="100"/>
    <x v="92"/>
    <s v="CUST2101"/>
    <s v="Arun Kumar"/>
    <s v="Female"/>
    <n v="28"/>
    <x v="1"/>
    <s v="Tamil Nadu"/>
    <x v="4"/>
    <x v="1"/>
    <n v="1"/>
    <n v="123000"/>
    <n v="10"/>
    <n v="110700"/>
    <n v="5166.58"/>
    <x v="1"/>
    <s v="Returned"/>
    <x v="2"/>
    <s v="Yes"/>
  </r>
  <r>
    <s v="RIDEZONE BIKE SHOWROOM"/>
    <x v="101"/>
    <x v="93"/>
    <s v="CUST2102"/>
    <s v="Karthik Raj"/>
    <s v="Female"/>
    <n v="47"/>
    <x v="0"/>
    <s v="Tamil Nadu"/>
    <x v="0"/>
    <x v="2"/>
    <n v="1"/>
    <n v="94000"/>
    <n v="7"/>
    <n v="87420"/>
    <n v="3494.25"/>
    <x v="5"/>
    <s v="Completed"/>
    <x v="4"/>
    <s v="Yes"/>
  </r>
  <r>
    <s v="RIDEZONE BIKE SHOWROOM"/>
    <x v="102"/>
    <x v="94"/>
    <s v="CUST2103"/>
    <s v="Priya S"/>
    <s v="Female"/>
    <n v="35"/>
    <x v="6"/>
    <s v="Tamil Nadu"/>
    <x v="5"/>
    <x v="1"/>
    <n v="1"/>
    <n v="195000"/>
    <n v="0"/>
    <n v="181350"/>
    <n v="16706.34"/>
    <x v="5"/>
    <s v="Cancelled"/>
    <x v="0"/>
    <s v="No"/>
  </r>
  <r>
    <s v="RIDEZONE BIKE SHOWROOM"/>
    <x v="103"/>
    <x v="95"/>
    <s v="CUST2104"/>
    <s v="Arun Kumar"/>
    <s v="Female"/>
    <n v="52"/>
    <x v="8"/>
    <s v="Tamil Nadu"/>
    <x v="2"/>
    <x v="1"/>
    <n v="1"/>
    <n v="98000"/>
    <n v="0"/>
    <n v="98000"/>
    <n v="10347.969999999999"/>
    <x v="5"/>
    <s v="Returned"/>
    <x v="1"/>
    <s v="No"/>
  </r>
  <r>
    <s v="RIDEZONE BIKE SHOWROOM"/>
    <x v="104"/>
    <x v="96"/>
    <s v="CUST2105"/>
    <s v="Priya S"/>
    <s v="Male"/>
    <n v="41"/>
    <x v="3"/>
    <s v="Tamil Nadu"/>
    <x v="9"/>
    <x v="3"/>
    <n v="1"/>
    <n v="85000"/>
    <n v="2"/>
    <n v="83300"/>
    <n v="9524"/>
    <x v="6"/>
    <s v="Pending"/>
    <x v="3"/>
    <s v="No"/>
  </r>
  <r>
    <s v="RIDEZONE BIKE SHOWROOM"/>
    <x v="105"/>
    <x v="97"/>
    <s v="CUST2106"/>
    <s v="Divya M"/>
    <s v="Male"/>
    <n v="22"/>
    <x v="5"/>
    <s v="Tamil Nadu"/>
    <x v="3"/>
    <x v="0"/>
    <n v="1"/>
    <n v="173000"/>
    <n v="10"/>
    <n v="155700"/>
    <n v="4646.29"/>
    <x v="3"/>
    <s v="Completed"/>
    <x v="1"/>
    <s v="No"/>
  </r>
  <r>
    <s v="RIDEZONE BIKE SHOWROOM"/>
    <x v="106"/>
    <x v="98"/>
    <s v="CUST2107"/>
    <s v="Rahul K"/>
    <s v="Male"/>
    <n v="0"/>
    <x v="7"/>
    <s v="Tamil Nadu"/>
    <x v="1"/>
    <x v="3"/>
    <n v="3"/>
    <n v="116000"/>
    <n v="5"/>
    <n v="330600"/>
    <n v="48581.62"/>
    <x v="5"/>
    <s v="Completed"/>
    <x v="1"/>
    <s v="No"/>
  </r>
  <r>
    <s v="RIDEZONE BIKE SHOWROOM"/>
    <x v="107"/>
    <x v="99"/>
    <s v="CUST2108"/>
    <s v="Rahul K"/>
    <s v="Female"/>
    <n v="51"/>
    <x v="6"/>
    <s v="Tamil Nadu"/>
    <x v="12"/>
    <x v="0"/>
    <n v="2"/>
    <n v="195000"/>
    <n v="3"/>
    <n v="378300"/>
    <n v="28529.74"/>
    <x v="4"/>
    <s v="Completed"/>
    <x v="2"/>
    <s v="Yes"/>
  </r>
  <r>
    <s v="RIDEZONE BIKE SHOWROOM"/>
    <x v="108"/>
    <x v="100"/>
    <s v="CUST2109"/>
    <s v="Vignesh P"/>
    <s v="Male"/>
    <n v="48"/>
    <x v="2"/>
    <s v="Tamil Nadu"/>
    <x v="1"/>
    <x v="1"/>
    <n v="1"/>
    <n v="113000"/>
    <n v="3"/>
    <n v="109610"/>
    <n v="12507.94"/>
    <x v="6"/>
    <s v="Returned"/>
    <x v="4"/>
    <s v="No"/>
  </r>
  <r>
    <s v="RIDEZONE BIKE SHOWROOM"/>
    <x v="109"/>
    <x v="101"/>
    <s v="CUST2110"/>
    <s v="Priya S"/>
    <s v="Male"/>
    <n v="43"/>
    <x v="9"/>
    <s v="Tamil Nadu"/>
    <x v="6"/>
    <x v="2"/>
    <n v="1"/>
    <n v="233000"/>
    <n v="0"/>
    <n v="233000"/>
    <n v="32493.7"/>
    <x v="2"/>
    <s v="Completed"/>
    <x v="0"/>
    <s v="Yes"/>
  </r>
  <r>
    <s v="RIDEZONE BIKE SHOWROOM"/>
    <x v="110"/>
    <x v="102"/>
    <s v="CUST2111"/>
    <s v="Rahul K"/>
    <s v="Female"/>
    <n v="43"/>
    <x v="3"/>
    <s v="Tamil Nadu"/>
    <x v="8"/>
    <x v="0"/>
    <n v="1"/>
    <n v="126000"/>
    <n v="0"/>
    <n v="126000"/>
    <n v="18570.97"/>
    <x v="1"/>
    <s v="Cancelled"/>
    <x v="2"/>
    <s v="No"/>
  </r>
  <r>
    <s v="RIDEZONE BIKE SHOWROOM"/>
    <x v="111"/>
    <x v="103"/>
    <s v="CUST2112"/>
    <s v="Karthik Raj"/>
    <s v="Female"/>
    <n v="44"/>
    <x v="1"/>
    <s v="Tamil Nadu"/>
    <x v="7"/>
    <x v="3"/>
    <n v="2"/>
    <n v="168000"/>
    <n v="10"/>
    <n v="302400"/>
    <n v="32818.54"/>
    <x v="2"/>
    <s v="Pending"/>
    <x v="5"/>
    <s v="No"/>
  </r>
  <r>
    <s v="RIDEZONE BIKE SHOWROOM"/>
    <x v="112"/>
    <x v="104"/>
    <s v="CUST2113"/>
    <s v="Rahul K"/>
    <s v="Female"/>
    <n v="25"/>
    <x v="1"/>
    <s v="Tamil Nadu"/>
    <x v="3"/>
    <x v="0"/>
    <n v="1"/>
    <n v="173000"/>
    <n v="5"/>
    <n v="164350"/>
    <n v="25825.65"/>
    <x v="5"/>
    <s v="Cancelled"/>
    <x v="0"/>
    <s v="Yes"/>
  </r>
  <r>
    <s v="RIDEZONE BIKE SHOWROOM"/>
    <x v="113"/>
    <x v="105"/>
    <s v="CUST2114"/>
    <s v="Rahul K"/>
    <s v="Female"/>
    <n v="21"/>
    <x v="1"/>
    <s v="Tamil Nadu"/>
    <x v="4"/>
    <x v="1"/>
    <n v="1"/>
    <n v="124000"/>
    <n v="2"/>
    <n v="121520"/>
    <n v="21277.37"/>
    <x v="1"/>
    <s v="Completed"/>
    <x v="4"/>
    <s v="No"/>
  </r>
  <r>
    <s v="RIDEZONE BIKE SHOWROOM"/>
    <x v="114"/>
    <x v="106"/>
    <s v="CUST2115"/>
    <s v="Santhosh R"/>
    <s v="Female"/>
    <n v="24"/>
    <x v="6"/>
    <s v="Tamil Nadu"/>
    <x v="5"/>
    <x v="3"/>
    <n v="1"/>
    <n v="195000"/>
    <n v="7"/>
    <n v="181350"/>
    <n v="27524.23"/>
    <x v="1"/>
    <s v="Pending"/>
    <x v="0"/>
    <s v="No"/>
  </r>
  <r>
    <s v="RIDEZONE BIKE SHOWROOM"/>
    <x v="115"/>
    <x v="107"/>
    <s v="CUST2116"/>
    <s v="Suresh B"/>
    <s v="Female"/>
    <n v="40"/>
    <x v="0"/>
    <s v="Tamil Nadu"/>
    <x v="1"/>
    <x v="3"/>
    <n v="1"/>
    <n v="116000"/>
    <n v="2"/>
    <n v="113680"/>
    <n v="18966.59"/>
    <x v="6"/>
    <s v="Cancelled"/>
    <x v="0"/>
    <s v="No"/>
  </r>
  <r>
    <s v="RIDEZONE BIKE SHOWROOM"/>
    <x v="116"/>
    <x v="108"/>
    <s v="CUST2117"/>
    <s v="Priya S"/>
    <s v="Female"/>
    <n v="29"/>
    <x v="2"/>
    <s v="Tamil Nadu"/>
    <x v="2"/>
    <x v="0"/>
    <n v="1"/>
    <n v="96000"/>
    <n v="7"/>
    <n v="89280"/>
    <n v="7015.82"/>
    <x v="5"/>
    <s v="Completed"/>
    <x v="4"/>
    <s v="No"/>
  </r>
  <r>
    <s v="RIDEZONE BIKE SHOWROOM"/>
    <x v="117"/>
    <x v="109"/>
    <s v="CUST2118"/>
    <s v="Divya M"/>
    <s v="Female"/>
    <n v="38"/>
    <x v="7"/>
    <s v="Tamil Nadu"/>
    <x v="10"/>
    <x v="2"/>
    <n v="1"/>
    <n v="123000"/>
    <n v="5"/>
    <n v="116850"/>
    <n v="7788.41"/>
    <x v="0"/>
    <s v="Cancelled"/>
    <x v="2"/>
    <s v="Yes"/>
  </r>
  <r>
    <s v="RIDEZONE BIKE SHOWROOM"/>
    <x v="118"/>
    <x v="110"/>
    <s v="CUST2119"/>
    <s v="Rahul K"/>
    <s v="Female"/>
    <n v="40"/>
    <x v="5"/>
    <s v="Tamil Nadu"/>
    <x v="9"/>
    <x v="1"/>
    <n v="1"/>
    <n v="85000"/>
    <n v="5"/>
    <n v="80750"/>
    <n v="12368.97"/>
    <x v="1"/>
    <s v="Cancelled"/>
    <x v="5"/>
    <s v="Yes"/>
  </r>
  <r>
    <s v="RIDEZONE BIKE SHOWROOM"/>
    <x v="119"/>
    <x v="2"/>
    <s v="CUST2120"/>
    <s v="Divya M"/>
    <s v="Female"/>
    <n v="23"/>
    <x v="1"/>
    <s v="Tamil Nadu"/>
    <x v="4"/>
    <x v="1"/>
    <n v="1"/>
    <n v="125000"/>
    <n v="5"/>
    <n v="118750"/>
    <n v="17531.22"/>
    <x v="3"/>
    <s v="Pending"/>
    <x v="1"/>
    <s v="No"/>
  </r>
  <r>
    <s v="RIDEZONE BIKE SHOWROOM"/>
    <x v="120"/>
    <x v="111"/>
    <s v="CUST2121"/>
    <s v="Arun Kumar"/>
    <s v="Male"/>
    <n v="51"/>
    <x v="5"/>
    <s v="Tamil Nadu"/>
    <x v="8"/>
    <x v="1"/>
    <n v="1"/>
    <n v="126000"/>
    <n v="5"/>
    <n v="119700"/>
    <n v="13878.75"/>
    <x v="2"/>
    <s v="Pending"/>
    <x v="0"/>
    <s v="No"/>
  </r>
  <r>
    <s v="RIDEZONE BIKE SHOWROOM"/>
    <x v="121"/>
    <x v="112"/>
    <s v="CUST2122"/>
    <s v="Arun Kumar"/>
    <s v="Male"/>
    <n v="54"/>
    <x v="0"/>
    <s v="Tamil Nadu"/>
    <x v="9"/>
    <x v="1"/>
    <n v="1"/>
    <n v="86000"/>
    <n v="10"/>
    <n v="77400"/>
    <n v="3379.59"/>
    <x v="1"/>
    <s v="Cancelled"/>
    <x v="3"/>
    <s v="No"/>
  </r>
  <r>
    <s v="RIDEZONE BIKE SHOWROOM"/>
    <x v="122"/>
    <x v="113"/>
    <s v="CUST2123"/>
    <s v="Divya M"/>
    <s v="Male"/>
    <n v="55"/>
    <x v="3"/>
    <s v="Tamil Nadu"/>
    <x v="5"/>
    <x v="1"/>
    <n v="1"/>
    <n v="193000"/>
    <n v="7"/>
    <n v="179490"/>
    <n v="15938.32"/>
    <x v="2"/>
    <s v="Cancelled"/>
    <x v="5"/>
    <s v="Yes"/>
  </r>
  <r>
    <s v="RIDEZONE BIKE SHOWROOM"/>
    <x v="123"/>
    <x v="110"/>
    <s v="CUST2124"/>
    <s v="Vignesh P"/>
    <s v="Male"/>
    <n v="32"/>
    <x v="8"/>
    <s v="Tamil Nadu"/>
    <x v="2"/>
    <x v="0"/>
    <n v="1"/>
    <n v="98000"/>
    <n v="0"/>
    <n v="91140"/>
    <n v="3657.96"/>
    <x v="0"/>
    <s v="Pending"/>
    <x v="3"/>
    <s v="No"/>
  </r>
  <r>
    <s v="RIDEZONE BIKE SHOWROOM"/>
    <x v="124"/>
    <x v="114"/>
    <s v="CUST2125"/>
    <s v="Vignesh P"/>
    <s v="Female"/>
    <n v="0"/>
    <x v="13"/>
    <s v="Tamil Nadu"/>
    <x v="3"/>
    <x v="3"/>
    <n v="1"/>
    <n v="176000"/>
    <n v="2"/>
    <n v="172480"/>
    <n v="28273.360000000001"/>
    <x v="2"/>
    <s v="Cancelled"/>
    <x v="2"/>
    <s v="Yes"/>
  </r>
  <r>
    <s v="RIDEZONE BIKE SHOWROOM"/>
    <x v="125"/>
    <x v="115"/>
    <s v="CUST2126"/>
    <s v="Divya M"/>
    <s v="Male"/>
    <n v="50"/>
    <x v="3"/>
    <s v="Tamil Nadu"/>
    <x v="4"/>
    <x v="0"/>
    <n v="1"/>
    <n v="125000"/>
    <n v="7"/>
    <n v="116250"/>
    <n v="14134.83"/>
    <x v="2"/>
    <s v="Pending"/>
    <x v="5"/>
    <s v="No"/>
  </r>
  <r>
    <s v="RIDEZONE BIKE SHOWROOM"/>
    <x v="126"/>
    <x v="116"/>
    <s v="CUST2127"/>
    <s v="Vignesh P"/>
    <s v="Male"/>
    <n v="40"/>
    <x v="1"/>
    <s v="Tamil Nadu"/>
    <x v="4"/>
    <x v="1"/>
    <n v="1"/>
    <n v="100000"/>
    <n v="0"/>
    <n v="100000"/>
    <n v="19710.59"/>
    <x v="3"/>
    <s v="Returned"/>
    <x v="5"/>
    <s v="No"/>
  </r>
  <r>
    <s v="RIDEZONE BIKE SHOWROOM"/>
    <x v="127"/>
    <x v="117"/>
    <s v="CUST2128"/>
    <s v="Vignesh P"/>
    <s v="Female"/>
    <n v="53"/>
    <x v="5"/>
    <s v="Tamil Nadu"/>
    <x v="9"/>
    <x v="2"/>
    <n v="1"/>
    <n v="86000"/>
    <n v="3"/>
    <n v="83420"/>
    <n v="6039.37"/>
    <x v="2"/>
    <s v="Cancelled"/>
    <x v="5"/>
    <s v="No"/>
  </r>
  <r>
    <s v="RIDEZONE BIKE SHOWROOM"/>
    <x v="128"/>
    <x v="118"/>
    <s v="CUST2129"/>
    <s v="Divya M"/>
    <s v="Male"/>
    <n v="39"/>
    <x v="13"/>
    <s v="Tamil Nadu"/>
    <x v="7"/>
    <x v="1"/>
    <n v="1"/>
    <n v="169000"/>
    <n v="3"/>
    <n v="163930"/>
    <n v="20792"/>
    <x v="6"/>
    <s v="Returned"/>
    <x v="1"/>
    <s v="No"/>
  </r>
  <r>
    <s v="RIDEZONE BIKE SHOWROOM"/>
    <x v="129"/>
    <x v="119"/>
    <s v="CUST2130"/>
    <s v="Priya S"/>
    <s v="Female"/>
    <n v="42"/>
    <x v="8"/>
    <s v="Tamil Nadu"/>
    <x v="7"/>
    <x v="0"/>
    <n v="1"/>
    <n v="171000"/>
    <n v="5"/>
    <n v="162450"/>
    <n v="10689"/>
    <x v="5"/>
    <s v="Completed"/>
    <x v="1"/>
    <s v="No"/>
  </r>
  <r>
    <s v="RIDEZONE BIKE SHOWROOM"/>
    <x v="130"/>
    <x v="120"/>
    <s v="CUST2131"/>
    <s v=" Karthik Raj "/>
    <s v="Male"/>
    <n v="28"/>
    <x v="6"/>
    <s v="Tamil Nadu"/>
    <x v="7"/>
    <x v="2"/>
    <n v="1"/>
    <n v="171000"/>
    <n v="3"/>
    <n v="165870"/>
    <n v="13344.35"/>
    <x v="5"/>
    <s v="Pending"/>
    <x v="3"/>
    <s v="Yes"/>
  </r>
  <r>
    <s v="RIDEZONE BIKE SHOWROOM"/>
    <x v="131"/>
    <x v="62"/>
    <s v="CUST2132"/>
    <s v="Priya S"/>
    <s v="Female"/>
    <n v="20"/>
    <x v="8"/>
    <s v="Tamil Nadu"/>
    <x v="9"/>
    <x v="1"/>
    <n v="1"/>
    <n v="87000"/>
    <n v="5"/>
    <n v="82650"/>
    <n v="13740.31"/>
    <x v="2"/>
    <s v="Pending"/>
    <x v="1"/>
    <s v="No"/>
  </r>
  <r>
    <s v="RIDEZONE BIKE SHOWROOM"/>
    <x v="132"/>
    <x v="121"/>
    <s v="CUST2133"/>
    <s v="Priya S"/>
    <s v="Female"/>
    <n v="22"/>
    <x v="0"/>
    <s v="Tamil Nadu"/>
    <x v="7"/>
    <x v="2"/>
    <n v="2"/>
    <n v="168000"/>
    <n v="10"/>
    <n v="302400"/>
    <n v="17170.939999999999"/>
    <x v="5"/>
    <s v="Returned"/>
    <x v="2"/>
    <s v="Yes"/>
  </r>
  <r>
    <s v="RIDEZONE BIKE SHOWROOM"/>
    <x v="133"/>
    <x v="122"/>
    <s v="CUST2134"/>
    <s v="Santhosh R"/>
    <s v="Female"/>
    <n v="38"/>
    <x v="0"/>
    <s v="Tamil Nadu"/>
    <x v="7"/>
    <x v="2"/>
    <n v="1"/>
    <n v="171000"/>
    <n v="7"/>
    <n v="159030"/>
    <n v="23448.19"/>
    <x v="2"/>
    <s v="Cancelled"/>
    <x v="0"/>
    <s v="Yes"/>
  </r>
  <r>
    <s v="RIDEZONE BIKE SHOWROOM"/>
    <x v="134"/>
    <x v="123"/>
    <s v="CUST2135"/>
    <s v="Divya M"/>
    <s v="Male"/>
    <n v="41"/>
    <x v="5"/>
    <s v="Tamil Nadu"/>
    <x v="4"/>
    <x v="2"/>
    <n v="1"/>
    <n v="127000"/>
    <n v="3"/>
    <n v="123190"/>
    <n v="13178.56"/>
    <x v="4"/>
    <s v="Returned"/>
    <x v="5"/>
    <s v="No"/>
  </r>
  <r>
    <s v="RIDEZONE BIKE SHOWROOM"/>
    <x v="135"/>
    <x v="47"/>
    <s v="CUST2136"/>
    <s v="Divya M"/>
    <s v="Female"/>
    <n v="20"/>
    <x v="7"/>
    <s v="Tamil Nadu"/>
    <x v="0"/>
    <x v="2"/>
    <n v="1"/>
    <n v="94000"/>
    <n v="2"/>
    <n v="92120"/>
    <n v="13414.32"/>
    <x v="2"/>
    <s v="Cancelled"/>
    <x v="1"/>
    <s v="No"/>
  </r>
  <r>
    <s v="RIDEZONE BIKE SHOWROOM"/>
    <x v="136"/>
    <x v="124"/>
    <s v="CUST2137"/>
    <s v="Divya M"/>
    <s v="Male"/>
    <n v="49"/>
    <x v="0"/>
    <s v="Tamil Nadu"/>
    <x v="6"/>
    <x v="1"/>
    <n v="1"/>
    <n v="235000"/>
    <n v="10"/>
    <n v="211500"/>
    <n v="21536.27"/>
    <x v="5"/>
    <s v="Completed"/>
    <x v="3"/>
    <s v="No"/>
  </r>
  <r>
    <s v="RIDEZONE BIKE SHOWROOM"/>
    <x v="137"/>
    <x v="125"/>
    <s v="CUST2138"/>
    <s v="Vignesh P"/>
    <s v="Female"/>
    <n v="43"/>
    <x v="1"/>
    <s v="Tamil Nadu"/>
    <x v="4"/>
    <x v="2"/>
    <n v="1"/>
    <n v="124000"/>
    <n v="5"/>
    <n v="117800"/>
    <n v="18800.599999999999"/>
    <x v="3"/>
    <s v="Completed"/>
    <x v="5"/>
    <s v="No"/>
  </r>
  <r>
    <s v="RIDEZONE BIKE SHOWROOM"/>
    <x v="138"/>
    <x v="126"/>
    <s v="CUST2139"/>
    <s v="Suresh B"/>
    <s v="Male"/>
    <n v="52"/>
    <x v="3"/>
    <s v="Tamil Nadu"/>
    <x v="1"/>
    <x v="2"/>
    <n v="1"/>
    <n v="116000"/>
    <n v="0"/>
    <n v="116000"/>
    <n v="24660.33"/>
    <x v="6"/>
    <s v="Returned"/>
    <x v="4"/>
    <s v="Yes"/>
  </r>
  <r>
    <s v="RIDEZONE BIKE SHOWROOM"/>
    <x v="139"/>
    <x v="127"/>
    <s v="CUST2140"/>
    <s v="Vignesh P"/>
    <s v="Female"/>
    <n v="28"/>
    <x v="6"/>
    <s v="Tamil Nadu"/>
    <x v="6"/>
    <x v="0"/>
    <n v="1"/>
    <n v="236000"/>
    <n v="5"/>
    <n v="224200"/>
    <n v="17217.84"/>
    <x v="0"/>
    <s v="Cancelled"/>
    <x v="3"/>
    <s v="Yes"/>
  </r>
  <r>
    <s v="RIDEZONE BIKE SHOWROOM"/>
    <x v="140"/>
    <x v="128"/>
    <s v="CUST2141"/>
    <s v="Rahul K"/>
    <s v="Male"/>
    <n v="47"/>
    <x v="2"/>
    <s v="Tamil Nadu"/>
    <x v="5"/>
    <x v="0"/>
    <n v="1"/>
    <n v="197000"/>
    <n v="2"/>
    <n v="193060"/>
    <n v="25728.720000000001"/>
    <x v="6"/>
    <s v="Returned"/>
    <x v="4"/>
    <s v="No"/>
  </r>
  <r>
    <s v="RIDEZONE BIKE SHOWROOM"/>
    <x v="141"/>
    <x v="129"/>
    <s v="CUST2142"/>
    <s v=" Vignesh P "/>
    <s v="Female"/>
    <n v="43"/>
    <x v="5"/>
    <s v="Tamil Nadu"/>
    <x v="5"/>
    <x v="1"/>
    <n v="1"/>
    <n v="197000"/>
    <n v="10"/>
    <n v="177300"/>
    <n v="8371.3799999999992"/>
    <x v="4"/>
    <s v="Completed"/>
    <x v="3"/>
    <s v="Yes"/>
  </r>
  <r>
    <s v="RIDEZONE BIKE SHOWROOM"/>
    <x v="142"/>
    <x v="130"/>
    <s v="CUST2143"/>
    <s v="Arun Kumar"/>
    <s v="Female"/>
    <n v="75"/>
    <x v="8"/>
    <s v="Tamil Nadu"/>
    <x v="4"/>
    <x v="1"/>
    <n v="1"/>
    <n v="126000"/>
    <n v="5"/>
    <n v="119700"/>
    <n v="13423.9"/>
    <x v="4"/>
    <s v="Returned"/>
    <x v="0"/>
    <s v="Yes"/>
  </r>
  <r>
    <s v="RIDEZONE BIKE SHOWROOM"/>
    <x v="143"/>
    <x v="131"/>
    <s v="CUST2144"/>
    <s v=" Arun Kumar "/>
    <s v="Male"/>
    <n v="46"/>
    <x v="3"/>
    <s v="Tamil Nadu"/>
    <x v="3"/>
    <x v="2"/>
    <n v="1"/>
    <n v="174000"/>
    <n v="10"/>
    <n v="156600"/>
    <n v="4896.57"/>
    <x v="5"/>
    <s v="Completed"/>
    <x v="5"/>
    <s v="Yes"/>
  </r>
  <r>
    <s v="RIDEZONE BIKE SHOWROOM"/>
    <x v="144"/>
    <x v="63"/>
    <s v="CUST2145"/>
    <s v="Arun Kumar"/>
    <s v="Male"/>
    <n v="33"/>
    <x v="0"/>
    <s v="Tamil Nadu"/>
    <x v="3"/>
    <x v="3"/>
    <n v="1"/>
    <n v="173000"/>
    <n v="5"/>
    <n v="164350"/>
    <n v="20297.13"/>
    <x v="3"/>
    <s v="Cancelled"/>
    <x v="5"/>
    <s v="No"/>
  </r>
  <r>
    <s v="RIDEZONE BIKE SHOWROOM"/>
    <x v="145"/>
    <x v="132"/>
    <s v="CUST2146"/>
    <s v="Arun Kumar"/>
    <s v="Male"/>
    <n v="37"/>
    <x v="2"/>
    <s v="Tamil Nadu"/>
    <x v="4"/>
    <x v="1"/>
    <n v="2"/>
    <n v="127000"/>
    <n v="7"/>
    <n v="236220"/>
    <n v="31362.62"/>
    <x v="2"/>
    <s v="Completed"/>
    <x v="1"/>
    <s v="No"/>
  </r>
  <r>
    <s v="RIDEZONE BIKE SHOWROOM"/>
    <x v="146"/>
    <x v="46"/>
    <s v="CUST2147"/>
    <s v="Santhosh R"/>
    <s v="Male"/>
    <n v="54"/>
    <x v="3"/>
    <s v="Tamil Nadu"/>
    <x v="1"/>
    <x v="2"/>
    <n v="1"/>
    <n v="115000"/>
    <n v="2"/>
    <n v="112700"/>
    <n v="18861.54"/>
    <x v="5"/>
    <s v="Pending"/>
    <x v="2"/>
    <s v="Yes"/>
  </r>
  <r>
    <s v="RIDEZONE BIKE SHOWROOM"/>
    <x v="147"/>
    <x v="133"/>
    <s v="CUST2148"/>
    <s v="Suresh B"/>
    <s v="Female"/>
    <n v="36"/>
    <x v="7"/>
    <s v="Tamil Nadu"/>
    <x v="1"/>
    <x v="0"/>
    <n v="2"/>
    <n v="116000"/>
    <n v="7"/>
    <n v="215760"/>
    <n v="31066.86"/>
    <x v="0"/>
    <s v="Cancelled"/>
    <x v="4"/>
    <s v="Yes"/>
  </r>
  <r>
    <s v="RIDEZONE BIKE SHOWROOM"/>
    <x v="148"/>
    <x v="134"/>
    <s v="CUST2149"/>
    <s v="Suresh B"/>
    <s v="Female"/>
    <n v="32"/>
    <x v="2"/>
    <s v="Tamil Nadu"/>
    <x v="9"/>
    <x v="2"/>
    <n v="1"/>
    <n v="86000"/>
    <n v="7"/>
    <n v="79980"/>
    <n v="12491.87"/>
    <x v="6"/>
    <s v="Cancelled"/>
    <x v="4"/>
    <s v="Yes"/>
  </r>
  <r>
    <s v="RIDEZONE BIKE SHOWROOM"/>
    <x v="149"/>
    <x v="135"/>
    <s v="CUST2150"/>
    <s v="Suresh B"/>
    <s v="Female"/>
    <n v="45"/>
    <x v="8"/>
    <s v="Tamil Nadu"/>
    <x v="4"/>
    <x v="3"/>
    <n v="1"/>
    <n v="125000"/>
    <n v="2"/>
    <n v="122500"/>
    <n v="14565.61"/>
    <x v="4"/>
    <s v="Returned"/>
    <x v="5"/>
    <s v="No"/>
  </r>
  <r>
    <s v="RIDEZONE BIKE SHOWROOM"/>
    <x v="150"/>
    <x v="136"/>
    <s v="CUST2151"/>
    <s v="Suresh B"/>
    <s v="Female"/>
    <n v="40"/>
    <x v="2"/>
    <s v="Tamil Nadu"/>
    <x v="7"/>
    <x v="3"/>
    <n v="1"/>
    <n v="170000"/>
    <n v="5"/>
    <n v="161500"/>
    <n v="26888.39"/>
    <x v="4"/>
    <s v="Completed"/>
    <x v="5"/>
    <s v="Yes"/>
  </r>
  <r>
    <s v="RIDEZONE BIKE SHOWROOM"/>
    <x v="151"/>
    <x v="27"/>
    <s v="CUST2152"/>
    <s v="Suresh B"/>
    <s v="Female"/>
    <n v="29"/>
    <x v="0"/>
    <s v="Tamil Nadu"/>
    <x v="2"/>
    <x v="2"/>
    <n v="1"/>
    <n v="99000"/>
    <n v="0"/>
    <n v="92070"/>
    <n v="6296.26"/>
    <x v="4"/>
    <s v="Pending"/>
    <x v="2"/>
    <s v="No"/>
  </r>
  <r>
    <s v="RIDEZONE BIKE SHOWROOM"/>
    <x v="152"/>
    <x v="137"/>
    <s v="CUST2153"/>
    <s v="Priya S"/>
    <s v="Male"/>
    <n v="42"/>
    <x v="6"/>
    <s v="Tamil Nadu"/>
    <x v="7"/>
    <x v="1"/>
    <n v="2"/>
    <n v="172000"/>
    <n v="10"/>
    <n v="309600"/>
    <n v="21028.21"/>
    <x v="1"/>
    <s v="Completed"/>
    <x v="5"/>
    <s v="Yes"/>
  </r>
  <r>
    <s v="RIDEZONE BIKE SHOWROOM"/>
    <x v="153"/>
    <x v="138"/>
    <s v="CUST2154"/>
    <s v="Priya S"/>
    <s v="Male"/>
    <n v="24"/>
    <x v="0"/>
    <s v="Tamil Nadu"/>
    <x v="0"/>
    <x v="2"/>
    <n v="1"/>
    <n v="95000"/>
    <n v="2"/>
    <n v="93100"/>
    <n v="9394.99"/>
    <x v="2"/>
    <s v="Cancelled"/>
    <x v="4"/>
    <s v="No"/>
  </r>
  <r>
    <s v="RIDEZONE BIKE SHOWROOM"/>
    <x v="154"/>
    <x v="139"/>
    <s v="CUST2155"/>
    <s v="Divya M"/>
    <s v="Male"/>
    <n v="37"/>
    <x v="0"/>
    <s v="Tamil Nadu"/>
    <x v="3"/>
    <x v="1"/>
    <n v="1"/>
    <n v="176000"/>
    <n v="5"/>
    <n v="167200"/>
    <n v="29669.71"/>
    <x v="1"/>
    <s v="Completed"/>
    <x v="4"/>
    <s v="Yes"/>
  </r>
  <r>
    <s v="RIDEZONE BIKE SHOWROOM"/>
    <x v="155"/>
    <x v="64"/>
    <s v="CUST2156"/>
    <s v="Rahul K"/>
    <s v="Female"/>
    <n v="25"/>
    <x v="1"/>
    <s v="Tamil Nadu"/>
    <x v="8"/>
    <x v="1"/>
    <n v="1"/>
    <n v="125000"/>
    <n v="3"/>
    <n v="121250"/>
    <n v="19740.13"/>
    <x v="3"/>
    <s v="Pending"/>
    <x v="1"/>
    <s v="Yes"/>
  </r>
  <r>
    <s v="RIDEZONE BIKE SHOWROOM"/>
    <x v="156"/>
    <x v="140"/>
    <s v="CUST2157"/>
    <s v="Karthik Raj"/>
    <s v="Female"/>
    <n v="30"/>
    <x v="8"/>
    <s v="Tamil Nadu"/>
    <x v="9"/>
    <x v="1"/>
    <n v="1"/>
    <n v="85000"/>
    <n v="7"/>
    <n v="79050"/>
    <n v="7894.75"/>
    <x v="0"/>
    <s v="Completed"/>
    <x v="5"/>
    <s v="Yes"/>
  </r>
  <r>
    <s v="RIDEZONE BIKE SHOWROOM"/>
    <x v="157"/>
    <x v="141"/>
    <s v="CUST2158"/>
    <s v="Divya M"/>
    <s v="Male"/>
    <n v="24"/>
    <x v="1"/>
    <s v="Tamil Nadu"/>
    <x v="8"/>
    <x v="2"/>
    <n v="2"/>
    <n v="127000"/>
    <n v="7"/>
    <n v="236220"/>
    <n v="23606.75"/>
    <x v="6"/>
    <s v="Completed"/>
    <x v="0"/>
    <s v="Yes"/>
  </r>
  <r>
    <s v="RIDEZONE BIKE SHOWROOM"/>
    <x v="158"/>
    <x v="142"/>
    <s v="CUST2159"/>
    <s v="Rahul K"/>
    <s v="Female"/>
    <n v="54"/>
    <x v="8"/>
    <s v="Tamil Nadu"/>
    <x v="5"/>
    <x v="2"/>
    <n v="1"/>
    <n v="196000"/>
    <n v="2"/>
    <n v="192080"/>
    <n v="25871.31"/>
    <x v="0"/>
    <s v="Cancelled"/>
    <x v="4"/>
    <s v="Yes"/>
  </r>
  <r>
    <s v="RIDEZONE BIKE SHOWROOM"/>
    <x v="159"/>
    <x v="143"/>
    <s v="CUST2160"/>
    <s v="Rahul K"/>
    <s v="Male"/>
    <n v="45"/>
    <x v="1"/>
    <s v="Tamil Nadu"/>
    <x v="5"/>
    <x v="3"/>
    <n v="1"/>
    <n v="195000"/>
    <n v="7"/>
    <n v="181350"/>
    <n v="11255.27"/>
    <x v="2"/>
    <s v="Returned"/>
    <x v="0"/>
    <s v="No"/>
  </r>
  <r>
    <s v="RIDEZONE BIKE SHOWROOM"/>
    <x v="160"/>
    <x v="144"/>
    <s v="CUST2161"/>
    <s v="Suresh B"/>
    <s v="Male"/>
    <n v="38"/>
    <x v="7"/>
    <s v="Tamil Nadu"/>
    <x v="1"/>
    <x v="0"/>
    <n v="1"/>
    <n v="117000"/>
    <n v="7"/>
    <n v="108810"/>
    <n v="8274.17"/>
    <x v="5"/>
    <s v="Pending"/>
    <x v="2"/>
    <s v="Yes"/>
  </r>
  <r>
    <s v="RIDEZONE BIKE SHOWROOM"/>
    <x v="161"/>
    <x v="104"/>
    <s v="CUST2162"/>
    <s v="Divya M"/>
    <s v="Male"/>
    <n v="43"/>
    <x v="3"/>
    <s v="Tamil Nadu"/>
    <x v="5"/>
    <x v="2"/>
    <n v="1"/>
    <n v="193000"/>
    <n v="0"/>
    <n v="193000"/>
    <n v="20621.04"/>
    <x v="6"/>
    <s v="Pending"/>
    <x v="2"/>
    <s v="No"/>
  </r>
  <r>
    <s v="RIDEZONE BIKE SHOWROOM"/>
    <x v="162"/>
    <x v="145"/>
    <s v="CUST2163"/>
    <s v="Vignesh P"/>
    <s v="Male"/>
    <n v="5"/>
    <x v="7"/>
    <s v="Tamil Nadu"/>
    <x v="1"/>
    <x v="3"/>
    <n v="1"/>
    <n v="113000"/>
    <n v="3"/>
    <n v="109610"/>
    <n v="13954.78"/>
    <x v="4"/>
    <s v="Returned"/>
    <x v="4"/>
    <s v="Yes"/>
  </r>
  <r>
    <s v="RIDEZONE BIKE SHOWROOM"/>
    <x v="163"/>
    <x v="146"/>
    <s v="CUST2164"/>
    <s v="Priya S"/>
    <s v="Male"/>
    <n v="51"/>
    <x v="5"/>
    <s v="Tamil Nadu"/>
    <x v="6"/>
    <x v="2"/>
    <n v="1"/>
    <n v="234000"/>
    <n v="2"/>
    <n v="229320"/>
    <n v="39248.76"/>
    <x v="4"/>
    <s v="Cancelled"/>
    <x v="2"/>
    <s v="No"/>
  </r>
  <r>
    <s v="RIDEZONE BIKE SHOWROOM"/>
    <x v="164"/>
    <x v="147"/>
    <s v="CUST2165"/>
    <s v="Santhosh R"/>
    <s v="Male"/>
    <n v="32"/>
    <x v="8"/>
    <s v="Tamil Nadu"/>
    <x v="3"/>
    <x v="2"/>
    <n v="1"/>
    <n v="174000"/>
    <n v="10"/>
    <n v="156600"/>
    <n v="7829.3"/>
    <x v="5"/>
    <s v="Completed"/>
    <x v="2"/>
    <s v="No"/>
  </r>
  <r>
    <s v="RIDEZONE BIKE SHOWROOM"/>
    <x v="165"/>
    <x v="147"/>
    <s v="CUST2166"/>
    <s v="Divya M"/>
    <s v="Female"/>
    <n v="28"/>
    <x v="7"/>
    <s v="Tamil Nadu"/>
    <x v="6"/>
    <x v="2"/>
    <n v="1"/>
    <n v="235000"/>
    <n v="5"/>
    <n v="223250"/>
    <n v="30510.44"/>
    <x v="2"/>
    <s v=" completed "/>
    <x v="0"/>
    <s v="No"/>
  </r>
  <r>
    <s v="RIDEZONE BIKE SHOWROOM"/>
    <x v="166"/>
    <x v="133"/>
    <s v="CUST2167"/>
    <s v="Vignesh P"/>
    <s v="Female"/>
    <n v="40"/>
    <x v="2"/>
    <s v="Tamil Nadu"/>
    <x v="4"/>
    <x v="1"/>
    <n v="1"/>
    <n v="127000"/>
    <n v="5"/>
    <n v="120650"/>
    <n v="6841.29"/>
    <x v="6"/>
    <s v="Completed"/>
    <x v="5"/>
    <s v="Yes"/>
  </r>
  <r>
    <s v="RIDEZONE BIKE SHOWROOM"/>
    <x v="167"/>
    <x v="148"/>
    <s v="CUST2168"/>
    <s v="Santhosh R"/>
    <s v="Female"/>
    <n v="33"/>
    <x v="5"/>
    <s v="Tamil Nadu"/>
    <x v="6"/>
    <x v="0"/>
    <n v="1"/>
    <n v="236000"/>
    <n v="0"/>
    <n v="236000"/>
    <n v="24930.91"/>
    <x v="4"/>
    <s v="Returned"/>
    <x v="0"/>
    <s v="No"/>
  </r>
  <r>
    <s v="RIDEZONE BIKE SHOWROOM"/>
    <x v="168"/>
    <x v="149"/>
    <s v="CUST2169"/>
    <s v="Santhosh R"/>
    <s v="Female"/>
    <n v="48"/>
    <x v="2"/>
    <s v="Tamil Nadu"/>
    <x v="8"/>
    <x v="1"/>
    <n v="1"/>
    <n v="127000"/>
    <n v="5"/>
    <n v="120650"/>
    <n v="9564.4699999999993"/>
    <x v="5"/>
    <s v="Cancelled"/>
    <x v="3"/>
    <s v="Yes"/>
  </r>
  <r>
    <s v="RIDEZONE BIKE SHOWROOM"/>
    <x v="169"/>
    <x v="150"/>
    <s v="CUST2170"/>
    <s v="Rahul K"/>
    <s v="Female"/>
    <n v="45"/>
    <x v="1"/>
    <s v="Tamil Nadu"/>
    <x v="0"/>
    <x v="0"/>
    <n v="1"/>
    <n v="95000"/>
    <n v="2"/>
    <n v="93100"/>
    <n v="11624.2"/>
    <x v="5"/>
    <s v="Completed"/>
    <x v="1"/>
    <s v="Yes"/>
  </r>
  <r>
    <s v="RIDEZONE BIKE SHOWROOM"/>
    <x v="170"/>
    <x v="151"/>
    <s v="CUST2171"/>
    <s v="Priya S"/>
    <s v="Female"/>
    <n v="52"/>
    <x v="1"/>
    <s v="Tamil Nadu"/>
    <x v="1"/>
    <x v="0"/>
    <n v="1"/>
    <n v="115000"/>
    <n v="5"/>
    <n v="109250"/>
    <n v="8891.68"/>
    <x v="2"/>
    <s v="Completed"/>
    <x v="1"/>
    <s v="No"/>
  </r>
  <r>
    <s v="RIDEZONE BIKE SHOWROOM"/>
    <x v="171"/>
    <x v="152"/>
    <s v="CUST2172"/>
    <s v="Suresh B"/>
    <s v="Female"/>
    <n v="49"/>
    <x v="8"/>
    <s v="Tamil Nadu"/>
    <x v="0"/>
    <x v="3"/>
    <n v="1"/>
    <n v="97000"/>
    <n v="2"/>
    <n v="95060"/>
    <n v="15345.45"/>
    <x v="2"/>
    <s v="Completed"/>
    <x v="2"/>
    <s v="No"/>
  </r>
  <r>
    <s v="RIDEZONE BIKE SHOWROOM"/>
    <x v="172"/>
    <x v="152"/>
    <s v="CUST2173"/>
    <s v="Priya S"/>
    <s v="Male"/>
    <n v="26"/>
    <x v="8"/>
    <s v="Tamil Nadu"/>
    <x v="4"/>
    <x v="2"/>
    <n v="1"/>
    <n v="127000"/>
    <n v="0"/>
    <n v="127000"/>
    <n v="27595.8"/>
    <x v="1"/>
    <s v="Cancelled"/>
    <x v="5"/>
    <s v="No"/>
  </r>
  <r>
    <s v="RIDEZONE BIKE SHOWROOM"/>
    <x v="173"/>
    <x v="153"/>
    <s v="CUST2174"/>
    <s v="Arun Kumar"/>
    <s v="Male"/>
    <n v="45"/>
    <x v="1"/>
    <s v="Tamil Nadu"/>
    <x v="3"/>
    <x v="1"/>
    <n v="1"/>
    <n v="177000"/>
    <n v="2"/>
    <n v="173460"/>
    <n v="31441.14"/>
    <x v="4"/>
    <s v="Returned"/>
    <x v="4"/>
    <s v="Yes"/>
  </r>
  <r>
    <s v="RIDEZONE BIKE SHOWROOM"/>
    <x v="174"/>
    <x v="154"/>
    <s v="CUST2175"/>
    <s v="Rahul K"/>
    <s v="Female"/>
    <n v="31"/>
    <x v="2"/>
    <s v="Tamil Nadu"/>
    <x v="4"/>
    <x v="2"/>
    <n v="1"/>
    <n v="123000"/>
    <n v="7"/>
    <n v="114390"/>
    <n v="16948.14"/>
    <x v="2"/>
    <s v="Completed"/>
    <x v="1"/>
    <s v="No"/>
  </r>
  <r>
    <s v="RIDEZONE BIKE SHOWROOM"/>
    <x v="175"/>
    <x v="155"/>
    <s v="CUST2176"/>
    <s v="Santhosh R"/>
    <s v="Male"/>
    <n v="42"/>
    <x v="3"/>
    <s v="Tamil Nadu"/>
    <x v="1"/>
    <x v="3"/>
    <n v="1"/>
    <n v="116000"/>
    <n v="5"/>
    <n v="110200"/>
    <n v="11548.89"/>
    <x v="6"/>
    <s v="Pending"/>
    <x v="1"/>
    <s v="Yes"/>
  </r>
  <r>
    <s v="RIDEZONE BIKE SHOWROOM"/>
    <x v="176"/>
    <x v="156"/>
    <s v="CUST2177"/>
    <s v="Priya S"/>
    <s v="Female"/>
    <n v="46"/>
    <x v="2"/>
    <s v="Tamil Nadu"/>
    <x v="8"/>
    <x v="1"/>
    <n v="1"/>
    <n v="125000"/>
    <n v="10"/>
    <n v="112500"/>
    <n v="12879.62"/>
    <x v="1"/>
    <s v="Returned"/>
    <x v="3"/>
    <s v="Yes"/>
  </r>
  <r>
    <s v="RIDEZONE BIKE SHOWROOM"/>
    <x v="177"/>
    <x v="157"/>
    <s v="CUST2178"/>
    <s v="Rahul K"/>
    <s v="Male"/>
    <n v="23"/>
    <x v="5"/>
    <s v="Tamil Nadu"/>
    <x v="1"/>
    <x v="1"/>
    <n v="1"/>
    <n v="114000"/>
    <n v="2"/>
    <n v="111720"/>
    <n v="18496.55"/>
    <x v="1"/>
    <s v="Pending"/>
    <x v="2"/>
    <s v="No"/>
  </r>
  <r>
    <s v="RIDEZONE BIKE SHOWROOM"/>
    <x v="178"/>
    <x v="69"/>
    <s v="CUST2179"/>
    <s v="Suresh B"/>
    <s v="Female"/>
    <n v="21"/>
    <x v="6"/>
    <s v="Tamil Nadu"/>
    <x v="13"/>
    <x v="0"/>
    <n v="1"/>
    <n v="195000"/>
    <n v="5"/>
    <n v="185250"/>
    <n v="29236.27"/>
    <x v="5"/>
    <s v="Pending"/>
    <x v="5"/>
    <s v="No"/>
  </r>
  <r>
    <s v="RIDEZONE BIKE SHOWROOM"/>
    <x v="179"/>
    <x v="158"/>
    <s v="CUST2180"/>
    <s v="Divya M"/>
    <s v="Female"/>
    <n v="27"/>
    <x v="6"/>
    <s v="Tamil Nadu"/>
    <x v="2"/>
    <x v="0"/>
    <n v="1"/>
    <n v="98000"/>
    <n v="7"/>
    <n v="91140"/>
    <n v="8692.92"/>
    <x v="2"/>
    <s v="Pending"/>
    <x v="2"/>
    <s v="Yes"/>
  </r>
  <r>
    <s v="RIDEZONE BIKE SHOWROOM"/>
    <x v="180"/>
    <x v="159"/>
    <s v="CUST2181"/>
    <s v="Karthik Raj"/>
    <s v="Male"/>
    <n v="48"/>
    <x v="2"/>
    <s v="Tamil Nadu"/>
    <x v="8"/>
    <x v="2"/>
    <n v="2"/>
    <n v="123000"/>
    <n v="5"/>
    <n v="233700"/>
    <n v="34061.69"/>
    <x v="6"/>
    <s v="Returned"/>
    <x v="0"/>
    <s v="Yes"/>
  </r>
  <r>
    <s v="RIDEZONE BIKE SHOWROOM"/>
    <x v="181"/>
    <x v="145"/>
    <s v="CUST2182"/>
    <s v="Priya S"/>
    <s v="Female"/>
    <n v="54"/>
    <x v="1"/>
    <s v="Tamil Nadu"/>
    <x v="8"/>
    <x v="3"/>
    <n v="1"/>
    <n v="126000"/>
    <n v="3"/>
    <n v="122220"/>
    <n v="15891.91"/>
    <x v="5"/>
    <s v="Cancelled"/>
    <x v="5"/>
    <s v="Yes"/>
  </r>
  <r>
    <s v="RIDEZONE BIKE SHOWROOM"/>
    <x v="182"/>
    <x v="160"/>
    <s v="CUST2183"/>
    <s v="Priya S"/>
    <s v="Female"/>
    <n v="35"/>
    <x v="7"/>
    <s v="Tamil Nadu"/>
    <x v="2"/>
    <x v="2"/>
    <n v="2"/>
    <n v="98000"/>
    <n v="10"/>
    <n v="176400"/>
    <n v="20535.59"/>
    <x v="4"/>
    <s v="Returned"/>
    <x v="0"/>
    <s v="No"/>
  </r>
  <r>
    <s v="RIDEZONE BIKE SHOWROOM"/>
    <x v="183"/>
    <x v="161"/>
    <s v="CUST2184"/>
    <s v="Santhosh R"/>
    <s v="Female"/>
    <n v="43"/>
    <x v="7"/>
    <s v="Tamil Nadu"/>
    <x v="5"/>
    <x v="3"/>
    <n v="1"/>
    <n v="197000"/>
    <n v="0"/>
    <n v="197000"/>
    <n v="33816.61"/>
    <x v="5"/>
    <s v="Completed"/>
    <x v="3"/>
    <s v="No"/>
  </r>
  <r>
    <s v="RIDEZONE BIKE SHOWROOM"/>
    <x v="184"/>
    <x v="162"/>
    <s v="CUST2185"/>
    <s v="Divya M"/>
    <s v="Female"/>
    <n v="51"/>
    <x v="8"/>
    <s v="Tamil Nadu"/>
    <x v="4"/>
    <x v="3"/>
    <n v="1"/>
    <n v="125000"/>
    <n v="2"/>
    <n v="122500"/>
    <n v="10478.07"/>
    <x v="7"/>
    <s v="Pending"/>
    <x v="5"/>
    <s v="No"/>
  </r>
  <r>
    <s v="RIDEZONE BIKE SHOWROOM"/>
    <x v="185"/>
    <x v="163"/>
    <s v="CUST2186"/>
    <s v="Santhosh R"/>
    <s v="Male"/>
    <n v="48"/>
    <x v="0"/>
    <s v="Tamil Nadu"/>
    <x v="4"/>
    <x v="1"/>
    <n v="1"/>
    <n v="127000"/>
    <n v="5"/>
    <n v="120650"/>
    <n v="21341.87"/>
    <x v="3"/>
    <s v="Pending"/>
    <x v="3"/>
    <s v="No"/>
  </r>
  <r>
    <s v="RIDEZONE BIKE SHOWROOM"/>
    <x v="186"/>
    <x v="35"/>
    <s v="CUST2187"/>
    <s v="Vignesh P"/>
    <s v="Female"/>
    <n v="23"/>
    <x v="2"/>
    <s v="Tamil Nadu"/>
    <x v="2"/>
    <x v="2"/>
    <n v="1"/>
    <n v="98000"/>
    <n v="3"/>
    <n v="95060"/>
    <n v="17650.73"/>
    <x v="4"/>
    <s v="Completed"/>
    <x v="3"/>
    <s v="Yes"/>
  </r>
  <r>
    <s v="RIDEZONE BIKE SHOWROOM"/>
    <x v="187"/>
    <x v="104"/>
    <s v="CUST2188"/>
    <s v="Arun Kumar"/>
    <s v="Female"/>
    <n v="20"/>
    <x v="1"/>
    <s v="Tamil Nadu"/>
    <x v="9"/>
    <x v="0"/>
    <n v="1"/>
    <n v="84000"/>
    <n v="7"/>
    <n v="78120"/>
    <n v="10320"/>
    <x v="4"/>
    <s v="Pending"/>
    <x v="2"/>
    <s v="Yes"/>
  </r>
  <r>
    <s v="RIDEZONE BIKE SHOWROOM"/>
    <x v="188"/>
    <x v="164"/>
    <s v="CUST2189"/>
    <s v="Vignesh P"/>
    <s v="Male"/>
    <n v="0"/>
    <x v="7"/>
    <s v="Tamil Nadu"/>
    <x v="8"/>
    <x v="2"/>
    <n v="1"/>
    <n v="123000"/>
    <n v="0"/>
    <n v="123000"/>
    <n v="22434.93"/>
    <x v="6"/>
    <s v="Completed"/>
    <x v="5"/>
    <s v="Yes"/>
  </r>
  <r>
    <s v="RIDEZONE BIKE SHOWROOM"/>
    <x v="189"/>
    <x v="165"/>
    <s v="CUST2190"/>
    <s v="Suresh B"/>
    <s v="Male"/>
    <n v="48"/>
    <x v="3"/>
    <s v="Tamil Nadu"/>
    <x v="4"/>
    <x v="0"/>
    <n v="1"/>
    <n v="177000"/>
    <n v="10"/>
    <n v="159300"/>
    <n v="18024.810000000001"/>
    <x v="1"/>
    <s v="Completed"/>
    <x v="5"/>
    <s v="No"/>
  </r>
  <r>
    <s v="RIDEZONE BIKE SHOWROOM"/>
    <x v="190"/>
    <x v="166"/>
    <s v="CUST2191"/>
    <s v="Divya M"/>
    <s v="Male"/>
    <n v="35"/>
    <x v="7"/>
    <s v="Tamil Nadu"/>
    <x v="4"/>
    <x v="3"/>
    <n v="1"/>
    <n v="124000"/>
    <n v="2"/>
    <n v="121520"/>
    <n v="20678.72"/>
    <x v="3"/>
    <s v="Pending"/>
    <x v="3"/>
    <s v="No"/>
  </r>
  <r>
    <s v="RIDEZONE BIKE SHOWROOM"/>
    <x v="191"/>
    <x v="167"/>
    <s v="CUST2192"/>
    <s v="Karthik Raj"/>
    <s v="Male"/>
    <n v="51"/>
    <x v="0"/>
    <s v="Tamil Nadu"/>
    <x v="7"/>
    <x v="3"/>
    <n v="1"/>
    <n v="169000"/>
    <n v="5"/>
    <n v="160550"/>
    <n v="20904.240000000002"/>
    <x v="6"/>
    <s v="Pending"/>
    <x v="2"/>
    <s v="No"/>
  </r>
  <r>
    <s v="RIDEZONE BIKE SHOWROOM"/>
    <x v="192"/>
    <x v="123"/>
    <s v="CUST2193"/>
    <s v="Suresh B"/>
    <s v="Male"/>
    <n v="36"/>
    <x v="5"/>
    <s v="Tamil Nadu"/>
    <x v="4"/>
    <x v="0"/>
    <n v="1"/>
    <n v="123000"/>
    <n v="0"/>
    <n v="123000"/>
    <n v="18390.509999999998"/>
    <x v="4"/>
    <s v="Cancelled"/>
    <x v="3"/>
    <s v="No"/>
  </r>
  <r>
    <s v="RIDEZONE BIKE SHOWROOM"/>
    <x v="193"/>
    <x v="161"/>
    <s v="CUST2194"/>
    <s v="Divya M"/>
    <s v="Male"/>
    <n v="25"/>
    <x v="7"/>
    <s v="Tamil Nadu"/>
    <x v="5"/>
    <x v="2"/>
    <n v="1"/>
    <n v="196000"/>
    <n v="7"/>
    <n v="182280"/>
    <n v="14910.57"/>
    <x v="1"/>
    <s v="Cancelled"/>
    <x v="2"/>
    <s v="Yes"/>
  </r>
  <r>
    <s v="RIDEZONE BIKE SHOWROOM"/>
    <x v="194"/>
    <x v="168"/>
    <s v="CUST2195"/>
    <s v="Santhosh R"/>
    <s v="Male"/>
    <n v="27"/>
    <x v="7"/>
    <s v="Tamil Nadu"/>
    <x v="7"/>
    <x v="3"/>
    <n v="1"/>
    <n v="169000"/>
    <n v="0"/>
    <n v="169000"/>
    <n v="32221.95"/>
    <x v="1"/>
    <s v="Completed"/>
    <x v="4"/>
    <s v="Yes"/>
  </r>
  <r>
    <s v="RIDEZONE BIKE SHOWROOM"/>
    <x v="195"/>
    <x v="169"/>
    <s v="CUST2196"/>
    <s v="Rahul K"/>
    <s v="Male"/>
    <n v="30"/>
    <x v="5"/>
    <s v="Tamil Nadu"/>
    <x v="9"/>
    <x v="3"/>
    <n v="1"/>
    <n v="85000"/>
    <n v="7"/>
    <n v="79050"/>
    <n v="7474.33"/>
    <x v="6"/>
    <s v="Completed"/>
    <x v="1"/>
    <s v="No"/>
  </r>
  <r>
    <s v="RIDEZONE BIKE SHOWROOM"/>
    <x v="196"/>
    <x v="170"/>
    <s v="CUST2197"/>
    <s v="Rahul K"/>
    <s v="Male"/>
    <n v="52"/>
    <x v="8"/>
    <s v="Tamil Nadu"/>
    <x v="7"/>
    <x v="1"/>
    <n v="1"/>
    <n v="171000"/>
    <n v="10"/>
    <n v="153900"/>
    <n v="18938.52"/>
    <x v="1"/>
    <s v=" completed "/>
    <x v="0"/>
    <s v="No"/>
  </r>
  <r>
    <s v="RIDEZONE BIKE SHOWROOM"/>
    <x v="197"/>
    <x v="171"/>
    <s v="CUST2198"/>
    <s v="Arun Kumar"/>
    <s v="Female"/>
    <n v="35"/>
    <x v="8"/>
    <s v="Tamil Nadu"/>
    <x v="0"/>
    <x v="3"/>
    <n v="1"/>
    <n v="96000"/>
    <n v="0"/>
    <n v="96000"/>
    <n v="20612.68"/>
    <x v="4"/>
    <s v="Pending"/>
    <x v="0"/>
    <s v="Yes"/>
  </r>
  <r>
    <s v="RIDEZONE BIKE SHOWROOM"/>
    <x v="198"/>
    <x v="172"/>
    <s v="CUST2199"/>
    <s v="Karthik Raj"/>
    <s v="Female"/>
    <n v="37"/>
    <x v="7"/>
    <s v="Tamil Nadu"/>
    <x v="1"/>
    <x v="0"/>
    <n v="1"/>
    <n v="114000"/>
    <n v="5"/>
    <n v="108300"/>
    <n v="6851.11"/>
    <x v="5"/>
    <s v="Pending"/>
    <x v="0"/>
    <s v="Yes"/>
  </r>
  <r>
    <s v="RIDEZONE BIKE SHOWROOM"/>
    <x v="199"/>
    <x v="173"/>
    <s v="CUST2200"/>
    <s v="Arun Kumar"/>
    <s v="Female"/>
    <n v="49"/>
    <x v="8"/>
    <s v="Tamil Nadu"/>
    <x v="5"/>
    <x v="2"/>
    <n v="2"/>
    <n v="195000"/>
    <n v="3"/>
    <n v="378300"/>
    <n v="58782.32"/>
    <x v="5"/>
    <s v="Cancelled"/>
    <x v="3"/>
    <s v="Yes"/>
  </r>
  <r>
    <s v="RIDEZONE BIKE SHOWROOM"/>
    <x v="200"/>
    <x v="174"/>
    <s v="CUST2201"/>
    <s v="Priya S"/>
    <s v="Male"/>
    <n v="35"/>
    <x v="3"/>
    <s v="Tamil Nadu"/>
    <x v="3"/>
    <x v="1"/>
    <n v="1"/>
    <n v="175000"/>
    <n v="2"/>
    <n v="171500"/>
    <n v="19618.27"/>
    <x v="5"/>
    <s v="Pending"/>
    <x v="5"/>
    <s v="No"/>
  </r>
  <r>
    <s v="RIDEZONE BIKE SHOWROOM"/>
    <x v="201"/>
    <x v="9"/>
    <s v="CUST2202"/>
    <s v="Suresh B"/>
    <s v="Male"/>
    <n v="26"/>
    <x v="3"/>
    <s v="Tamil Nadu"/>
    <x v="9"/>
    <x v="1"/>
    <n v="1"/>
    <n v="87000"/>
    <n v="5"/>
    <n v="82650"/>
    <n v="5926.38"/>
    <x v="2"/>
    <s v="Completed"/>
    <x v="0"/>
    <s v="No"/>
  </r>
  <r>
    <s v="RIDEZONE BIKE SHOWROOM"/>
    <x v="202"/>
    <x v="74"/>
    <s v="CUST2203"/>
    <s v="Karthik Raj"/>
    <s v="Male"/>
    <n v="49"/>
    <x v="0"/>
    <s v="Tamil Nadu"/>
    <x v="0"/>
    <x v="2"/>
    <n v="2"/>
    <n v="96000"/>
    <n v="5"/>
    <n v="182400"/>
    <n v="16492.490000000002"/>
    <x v="4"/>
    <s v="Completed"/>
    <x v="5"/>
    <s v="Yes"/>
  </r>
  <r>
    <s v="RIDEZONE BIKE SHOWROOM"/>
    <x v="203"/>
    <x v="175"/>
    <s v="CUST2204"/>
    <s v="Rahul K"/>
    <s v="Female"/>
    <n v="40"/>
    <x v="5"/>
    <s v="Tamil Nadu"/>
    <x v="5"/>
    <x v="3"/>
    <n v="1"/>
    <n v="195000"/>
    <n v="3"/>
    <n v="189150"/>
    <n v="15380.62"/>
    <x v="3"/>
    <s v="Completed"/>
    <x v="0"/>
    <s v="Yes"/>
  </r>
  <r>
    <s v="RIDEZONE BIKE SHOWROOM"/>
    <x v="204"/>
    <x v="176"/>
    <s v="CUST2205"/>
    <s v="Rahul K"/>
    <s v="Male"/>
    <n v="27"/>
    <x v="8"/>
    <s v="Tamil Nadu"/>
    <x v="6"/>
    <x v="1"/>
    <n v="1"/>
    <n v="234000"/>
    <n v="5"/>
    <n v="222300"/>
    <n v="26693.17"/>
    <x v="5"/>
    <s v="Returned"/>
    <x v="1"/>
    <s v="Yes"/>
  </r>
  <r>
    <s v="RIDEZONE BIKE SHOWROOM"/>
    <x v="205"/>
    <x v="37"/>
    <s v="CUST2206"/>
    <s v="Rahul K"/>
    <s v="Male"/>
    <n v="33"/>
    <x v="5"/>
    <s v="Tamil Nadu"/>
    <x v="4"/>
    <x v="0"/>
    <n v="1"/>
    <n v="95000"/>
    <n v="10"/>
    <n v="85500"/>
    <n v="3455.59"/>
    <x v="0"/>
    <s v="Cancelled"/>
    <x v="2"/>
    <s v="Yes"/>
  </r>
  <r>
    <s v="RIDEZONE BIKE SHOWROOM"/>
    <x v="206"/>
    <x v="177"/>
    <s v="CUST2207"/>
    <s v="Suresh B"/>
    <s v="Male"/>
    <n v="55"/>
    <x v="2"/>
    <s v="Tamil Nadu"/>
    <x v="7"/>
    <x v="1"/>
    <n v="1"/>
    <n v="169000"/>
    <n v="0"/>
    <n v="169000"/>
    <n v="17871.48"/>
    <x v="6"/>
    <s v="Pending"/>
    <x v="4"/>
    <s v="Yes"/>
  </r>
  <r>
    <s v="RIDEZONE BIKE SHOWROOM"/>
    <x v="207"/>
    <x v="166"/>
    <s v="CUST2208"/>
    <s v="Karthik Raj"/>
    <s v="Male"/>
    <n v="36"/>
    <x v="1"/>
    <s v="Tamil Nadu"/>
    <x v="9"/>
    <x v="0"/>
    <n v="1"/>
    <n v="85000"/>
    <n v="3"/>
    <n v="82450"/>
    <n v="9149.89"/>
    <x v="3"/>
    <s v="Returned"/>
    <x v="0"/>
    <s v="Yes"/>
  </r>
  <r>
    <s v="RIDEZONE BIKE SHOWROOM"/>
    <x v="208"/>
    <x v="178"/>
    <s v="CUST2209"/>
    <s v="Vignesh P"/>
    <s v="Female"/>
    <n v="47"/>
    <x v="8"/>
    <s v="Tamil Nadu"/>
    <x v="4"/>
    <x v="0"/>
    <n v="1"/>
    <n v="125000"/>
    <n v="0"/>
    <n v="125000"/>
    <n v="24980.16"/>
    <x v="4"/>
    <s v="Returned"/>
    <x v="0"/>
    <s v="No"/>
  </r>
  <r>
    <s v="RIDEZONE BIKE SHOWROOM"/>
    <x v="209"/>
    <x v="179"/>
    <s v="CUST2210"/>
    <s v="Santhosh R"/>
    <s v="Female"/>
    <n v="0"/>
    <x v="5"/>
    <s v="Tamil Nadu"/>
    <x v="8"/>
    <x v="1"/>
    <n v="1"/>
    <n v="125000"/>
    <n v="2"/>
    <n v="122500"/>
    <n v="24480.26"/>
    <x v="0"/>
    <s v="Completed"/>
    <x v="1"/>
    <s v="No"/>
  </r>
  <r>
    <s v="RIDEZONE BIKE SHOWROOM"/>
    <x v="210"/>
    <x v="180"/>
    <s v="CUST2211"/>
    <s v="Vignesh P"/>
    <s v="Female"/>
    <n v="21"/>
    <x v="7"/>
    <s v="Tamil Nadu"/>
    <x v="2"/>
    <x v="1"/>
    <n v="1"/>
    <n v="99000"/>
    <n v="2"/>
    <n v="97020"/>
    <n v="12306.64"/>
    <x v="2"/>
    <s v="Cancelled"/>
    <x v="5"/>
    <s v="No"/>
  </r>
  <r>
    <s v="RIDEZONE BIKE SHOWROOM"/>
    <x v="211"/>
    <x v="181"/>
    <s v="CUST2212"/>
    <s v="Santhosh R"/>
    <s v="Female"/>
    <n v="23"/>
    <x v="2"/>
    <s v="Tamil Nadu"/>
    <x v="5"/>
    <x v="2"/>
    <n v="1"/>
    <n v="195000"/>
    <n v="7"/>
    <n v="181350"/>
    <n v="24124.93"/>
    <x v="1"/>
    <s v="Completed"/>
    <x v="0"/>
    <s v="Yes"/>
  </r>
  <r>
    <s v="RIDEZONE BIKE SHOWROOM"/>
    <x v="212"/>
    <x v="156"/>
    <s v="CUST2213"/>
    <s v="Priya S"/>
    <s v="Male"/>
    <n v="42"/>
    <x v="0"/>
    <s v="Tamil Nadu"/>
    <x v="7"/>
    <x v="2"/>
    <n v="1"/>
    <n v="169000"/>
    <n v="7"/>
    <n v="157170"/>
    <n v="8182.88"/>
    <x v="6"/>
    <s v="Cancelled"/>
    <x v="5"/>
    <s v="Yes"/>
  </r>
  <r>
    <s v="RIDEZONE BIKE SHOWROOM"/>
    <x v="213"/>
    <x v="182"/>
    <s v="CUST2214"/>
    <s v="Arun Kumar"/>
    <s v="Male"/>
    <n v="51"/>
    <x v="5"/>
    <s v="Tamil Nadu"/>
    <x v="4"/>
    <x v="0"/>
    <n v="1"/>
    <n v="124000"/>
    <n v="5"/>
    <n v="117800"/>
    <n v="13013.19"/>
    <x v="3"/>
    <s v="Pending"/>
    <x v="4"/>
    <s v="No"/>
  </r>
  <r>
    <s v="RIDEZONE BIKE SHOWROOM"/>
    <x v="214"/>
    <x v="183"/>
    <s v="CUST2215"/>
    <s v="Arun Kumar"/>
    <s v="Male"/>
    <n v="40"/>
    <x v="3"/>
    <s v="Tamil Nadu"/>
    <x v="9"/>
    <x v="2"/>
    <n v="2"/>
    <n v="84000"/>
    <n v="2"/>
    <n v="164640"/>
    <n v="26730.3"/>
    <x v="1"/>
    <s v="Completed"/>
    <x v="5"/>
    <s v="No"/>
  </r>
  <r>
    <s v="RIDEZONE BIKE SHOWROOM"/>
    <x v="215"/>
    <x v="184"/>
    <s v="CUST2216"/>
    <s v="Rahul K"/>
    <s v="Male"/>
    <n v="120"/>
    <x v="3"/>
    <s v="Tamil Nadu"/>
    <x v="0"/>
    <x v="2"/>
    <n v="1"/>
    <n v="97000"/>
    <n v="5"/>
    <n v="92150"/>
    <n v="9668.77"/>
    <x v="4"/>
    <s v="Returned"/>
    <x v="3"/>
    <s v="No"/>
  </r>
  <r>
    <s v="RIDEZONE BIKE SHOWROOM"/>
    <x v="216"/>
    <x v="185"/>
    <s v="CUST2217"/>
    <s v="Priya S"/>
    <s v="Male"/>
    <n v="28"/>
    <x v="3"/>
    <s v="Tamil Nadu"/>
    <x v="2"/>
    <x v="1"/>
    <n v="1"/>
    <n v="99000"/>
    <n v="2"/>
    <n v="97020"/>
    <n v="15304.8"/>
    <x v="5"/>
    <s v="Pending"/>
    <x v="5"/>
    <s v="No"/>
  </r>
  <r>
    <s v="RIDEZONE BIKE SHOWROOM"/>
    <x v="217"/>
    <x v="186"/>
    <s v="CUST2218"/>
    <s v="Rahul K"/>
    <s v="Female"/>
    <n v="35"/>
    <x v="1"/>
    <s v="Tamil Nadu"/>
    <x v="6"/>
    <x v="2"/>
    <n v="1"/>
    <n v="233000"/>
    <n v="5"/>
    <n v="221350"/>
    <n v="35677.61"/>
    <x v="6"/>
    <s v="Cancelled"/>
    <x v="2"/>
    <s v="Yes"/>
  </r>
  <r>
    <s v="RIDEZONE BIKE SHOWROOM"/>
    <x v="218"/>
    <x v="187"/>
    <s v="CUST2219"/>
    <s v="Arun Kumar"/>
    <s v="Female"/>
    <n v="20"/>
    <x v="1"/>
    <s v="Tamil Nadu"/>
    <x v="7"/>
    <x v="1"/>
    <n v="1"/>
    <n v="168000"/>
    <n v="3"/>
    <n v="162960"/>
    <n v="26745.78"/>
    <x v="4"/>
    <s v="Pending"/>
    <x v="2"/>
    <s v="No"/>
  </r>
  <r>
    <s v="RIDEZONE BIKE SHOWROOM"/>
    <x v="219"/>
    <x v="188"/>
    <s v="CUST2220"/>
    <s v="Priya S"/>
    <s v="Female"/>
    <n v="34"/>
    <x v="3"/>
    <s v="Tamil Nadu"/>
    <x v="5"/>
    <x v="0"/>
    <n v="1"/>
    <n v="193000"/>
    <n v="5"/>
    <n v="183350"/>
    <n v="14543.01"/>
    <x v="5"/>
    <s v="Cancelled"/>
    <x v="4"/>
    <s v="No"/>
  </r>
  <r>
    <s v="RIDEZONE BIKE SHOWROOM"/>
    <x v="220"/>
    <x v="189"/>
    <s v="CUST2221"/>
    <s v="Karthik Raj"/>
    <s v="Female"/>
    <n v="55"/>
    <x v="8"/>
    <s v="Tamil Nadu"/>
    <x v="7"/>
    <x v="1"/>
    <n v="1"/>
    <n v="169000"/>
    <n v="5"/>
    <n v="160550"/>
    <n v="25466.86"/>
    <x v="5"/>
    <s v="Returned"/>
    <x v="3"/>
    <s v="Yes"/>
  </r>
  <r>
    <s v="RIDEZONE BIKE SHOWROOM"/>
    <x v="221"/>
    <x v="190"/>
    <s v="CUST2222"/>
    <s v="Divya M"/>
    <s v="Female"/>
    <n v="46"/>
    <x v="7"/>
    <s v="Tamil Nadu"/>
    <x v="6"/>
    <x v="3"/>
    <n v="1"/>
    <n v="233000"/>
    <n v="3"/>
    <n v="226010"/>
    <n v="38522.81"/>
    <x v="3"/>
    <s v="Completed"/>
    <x v="4"/>
    <s v="No"/>
  </r>
  <r>
    <s v="RIDEZONE BIKE SHOWROOM"/>
    <x v="222"/>
    <x v="185"/>
    <s v="CUST2223"/>
    <s v="Suresh B"/>
    <s v="Male"/>
    <n v="50"/>
    <x v="6"/>
    <s v="Tamil Nadu"/>
    <x v="6"/>
    <x v="0"/>
    <n v="1"/>
    <n v="235000"/>
    <n v="0"/>
    <n v="235000"/>
    <n v="39641.51"/>
    <x v="3"/>
    <s v="Pending"/>
    <x v="3"/>
    <s v="No"/>
  </r>
  <r>
    <s v="RIDEZONE BIKE SHOWROOM"/>
    <x v="223"/>
    <x v="191"/>
    <s v="CUST2224"/>
    <s v="Vignesh P"/>
    <s v="Male"/>
    <n v="25"/>
    <x v="6"/>
    <s v="Tamil Nadu"/>
    <x v="0"/>
    <x v="3"/>
    <n v="1"/>
    <n v="95000"/>
    <n v="5"/>
    <n v="90250"/>
    <n v="10781.23"/>
    <x v="4"/>
    <s v="Cancelled"/>
    <x v="0"/>
    <s v="No"/>
  </r>
  <r>
    <s v="RIDEZONE BIKE SHOWROOM"/>
    <x v="224"/>
    <x v="192"/>
    <s v="CUST2225"/>
    <s v="Priya S"/>
    <s v="Male"/>
    <n v="23"/>
    <x v="2"/>
    <s v="Tamil Nadu"/>
    <x v="9"/>
    <x v="0"/>
    <n v="1"/>
    <n v="85000"/>
    <n v="2"/>
    <n v="83300"/>
    <n v="8461.7999999999993"/>
    <x v="6"/>
    <s v="Returned"/>
    <x v="5"/>
    <s v="Yes"/>
  </r>
  <r>
    <s v="RIDEZONE BIKE SHOWROOM"/>
    <x v="225"/>
    <x v="193"/>
    <s v="CUST2226"/>
    <s v="Santhosh R"/>
    <s v="Female"/>
    <n v="35"/>
    <x v="0"/>
    <s v="Tamil Nadu"/>
    <x v="1"/>
    <x v="0"/>
    <n v="1"/>
    <n v="116000"/>
    <n v="5"/>
    <n v="110200"/>
    <n v="6278.46"/>
    <x v="4"/>
    <s v="Completed"/>
    <x v="5"/>
    <s v="Yes"/>
  </r>
  <r>
    <s v="RIDEZONE BIKE SHOWROOM"/>
    <x v="226"/>
    <x v="194"/>
    <s v="CUST2227"/>
    <s v="Vignesh P"/>
    <s v="Male"/>
    <n v="22"/>
    <x v="6"/>
    <s v="Tamil Nadu"/>
    <x v="0"/>
    <x v="1"/>
    <n v="1"/>
    <n v="94000"/>
    <n v="2"/>
    <n v="92120"/>
    <n v="9680.56"/>
    <x v="3"/>
    <s v="Pending"/>
    <x v="5"/>
    <s v="No"/>
  </r>
  <r>
    <s v="RIDEZONE BIKE SHOWROOM"/>
    <x v="227"/>
    <x v="42"/>
    <s v="CUST2228"/>
    <s v="Santhosh R"/>
    <s v="Male"/>
    <n v="53"/>
    <x v="8"/>
    <s v="Tamil Nadu"/>
    <x v="4"/>
    <x v="1"/>
    <n v="1"/>
    <n v="126000"/>
    <n v="5"/>
    <n v="119700"/>
    <n v="13072.94"/>
    <x v="6"/>
    <s v="Returned"/>
    <x v="0"/>
    <s v="Yes"/>
  </r>
  <r>
    <s v="RIDEZONE BIKE SHOWROOM"/>
    <x v="228"/>
    <x v="195"/>
    <s v="CUST2229"/>
    <s v="Vignesh P"/>
    <s v="Female"/>
    <n v="42"/>
    <x v="8"/>
    <s v="Tamil Nadu"/>
    <x v="6"/>
    <x v="1"/>
    <n v="2"/>
    <n v="236000"/>
    <n v="0"/>
    <n v="472000"/>
    <n v="59335.37"/>
    <x v="0"/>
    <s v="Returned"/>
    <x v="4"/>
    <s v="Yes"/>
  </r>
  <r>
    <s v="RIDEZONE BIKE SHOWROOM"/>
    <x v="229"/>
    <x v="196"/>
    <s v="CUST2230"/>
    <s v="Rahul K"/>
    <s v="Male"/>
    <n v="45"/>
    <x v="7"/>
    <s v="Tamil Nadu"/>
    <x v="7"/>
    <x v="0"/>
    <n v="1"/>
    <n v="171000"/>
    <n v="10"/>
    <n v="153900"/>
    <n v="6286.07"/>
    <x v="2"/>
    <s v="Cancelled"/>
    <x v="1"/>
    <s v="Yes"/>
  </r>
  <r>
    <s v="RIDEZONE BIKE SHOWROOM"/>
    <x v="230"/>
    <x v="24"/>
    <s v="CUST2231"/>
    <s v="Divya M"/>
    <s v="Female"/>
    <n v="28"/>
    <x v="2"/>
    <s v="Tamil Nadu"/>
    <x v="4"/>
    <x v="3"/>
    <n v="1"/>
    <n v="125000"/>
    <n v="10"/>
    <n v="112500"/>
    <n v="4727.22"/>
    <x v="5"/>
    <s v="Returned"/>
    <x v="5"/>
    <s v="Yes"/>
  </r>
  <r>
    <s v="RIDEZONE BIKE SHOWROOM"/>
    <x v="231"/>
    <x v="197"/>
    <s v="CUST2232"/>
    <s v="Arun Kumar"/>
    <s v="Male"/>
    <n v="43"/>
    <x v="6"/>
    <s v="Tamil Nadu"/>
    <x v="8"/>
    <x v="0"/>
    <n v="1"/>
    <n v="125000"/>
    <n v="10"/>
    <n v="112500"/>
    <n v="7733.1"/>
    <x v="5"/>
    <s v="Returned"/>
    <x v="0"/>
    <s v="Yes"/>
  </r>
  <r>
    <s v="RIDEZONE BIKE SHOWROOM"/>
    <x v="232"/>
    <x v="198"/>
    <s v="CUST2233"/>
    <s v="Rahul K"/>
    <s v="Male"/>
    <n v="23"/>
    <x v="1"/>
    <s v="Tamil Nadu"/>
    <x v="2"/>
    <x v="3"/>
    <n v="2"/>
    <n v="97000"/>
    <n v="0"/>
    <n v="194000"/>
    <n v="36871.870000000003"/>
    <x v="6"/>
    <s v="Returned"/>
    <x v="5"/>
    <s v="No"/>
  </r>
  <r>
    <s v="RIDEZONE BIKE SHOWROOM"/>
    <x v="233"/>
    <x v="199"/>
    <s v="CUST2234"/>
    <s v="Rahul K"/>
    <s v="Female"/>
    <n v="55"/>
    <x v="0"/>
    <s v="Tamil Nadu"/>
    <x v="0"/>
    <x v="2"/>
    <n v="1"/>
    <n v="95000"/>
    <n v="7"/>
    <n v="88350"/>
    <n v="9164.42"/>
    <x v="5"/>
    <s v="Completed"/>
    <x v="1"/>
    <s v="Yes"/>
  </r>
  <r>
    <s v="RIDEZONE BIKE SHOWROOM"/>
    <x v="234"/>
    <x v="118"/>
    <s v="CUST2235"/>
    <s v="Divya M"/>
    <s v="Female"/>
    <n v="33"/>
    <x v="0"/>
    <s v="Tamil Nadu"/>
    <x v="5"/>
    <x v="0"/>
    <n v="1"/>
    <n v="196000"/>
    <n v="2"/>
    <n v="192080"/>
    <n v="19040.740000000002"/>
    <x v="5"/>
    <s v="Returned"/>
    <x v="0"/>
    <s v="Yes"/>
  </r>
  <r>
    <s v="RIDEZONE BIKE SHOWROOM"/>
    <x v="235"/>
    <x v="32"/>
    <s v="CUST2236"/>
    <s v="Vignesh P"/>
    <s v="Female"/>
    <n v="47"/>
    <x v="0"/>
    <s v="Tamil Nadu"/>
    <x v="6"/>
    <x v="1"/>
    <n v="1"/>
    <n v="236000"/>
    <n v="3"/>
    <n v="228920"/>
    <n v="24655.19"/>
    <x v="5"/>
    <s v="Pending"/>
    <x v="2"/>
    <s v="No"/>
  </r>
  <r>
    <s v="RIDEZONE BIKE SHOWROOM"/>
    <x v="236"/>
    <x v="200"/>
    <s v="CUST2237"/>
    <s v="Divya M"/>
    <s v="Female"/>
    <n v="55"/>
    <x v="7"/>
    <s v="Tamil Nadu"/>
    <x v="1"/>
    <x v="0"/>
    <n v="1"/>
    <n v="113000"/>
    <n v="7"/>
    <n v="105090"/>
    <n v="3397.74"/>
    <x v="2"/>
    <s v="Completed"/>
    <x v="1"/>
    <s v="No"/>
  </r>
  <r>
    <s v="RIDEZONE BIKE SHOWROOM"/>
    <x v="237"/>
    <x v="201"/>
    <s v="CUST2238"/>
    <s v="Suresh B"/>
    <s v="Male"/>
    <n v="53"/>
    <x v="2"/>
    <s v="Tamil Nadu"/>
    <x v="13"/>
    <x v="1"/>
    <n v="1"/>
    <n v="127000"/>
    <n v="10"/>
    <n v="114300"/>
    <n v="10686.42"/>
    <x v="6"/>
    <s v="Pending"/>
    <x v="3"/>
    <s v="Yes"/>
  </r>
  <r>
    <s v="RIDEZONE BIKE SHOWROOM"/>
    <x v="238"/>
    <x v="202"/>
    <s v="CUST2239"/>
    <s v="Rahul K"/>
    <s v="Male"/>
    <n v="32"/>
    <x v="2"/>
    <s v="Tamil Nadu"/>
    <x v="3"/>
    <x v="1"/>
    <n v="1"/>
    <n v="175000"/>
    <n v="5"/>
    <n v="166250"/>
    <n v="21596.23"/>
    <x v="6"/>
    <s v="Cancelled"/>
    <x v="0"/>
    <s v="Yes"/>
  </r>
  <r>
    <s v="RIDEZONE BIKE SHOWROOM"/>
    <x v="239"/>
    <x v="31"/>
    <s v="CUST2240"/>
    <s v="Rahul K"/>
    <s v="Male"/>
    <n v="31"/>
    <x v="8"/>
    <s v="Tamil Nadu"/>
    <x v="7"/>
    <x v="2"/>
    <n v="1"/>
    <n v="172000"/>
    <n v="3"/>
    <n v="166840"/>
    <n v="17712.150000000001"/>
    <x v="6"/>
    <s v="Pending"/>
    <x v="3"/>
    <s v="No"/>
  </r>
  <r>
    <s v="RIDEZONE BIKE SHOWROOM"/>
    <x v="240"/>
    <x v="203"/>
    <s v="CUST2241"/>
    <s v="Arun Kumar"/>
    <s v="Male"/>
    <n v="0"/>
    <x v="3"/>
    <s v="Tamil Nadu"/>
    <x v="5"/>
    <x v="1"/>
    <n v="1"/>
    <n v="196000"/>
    <n v="3"/>
    <n v="190120"/>
    <n v="26332.35"/>
    <x v="3"/>
    <s v="Completed"/>
    <x v="3"/>
    <s v="No"/>
  </r>
  <r>
    <s v="RIDEZONE BIKE SHOWROOM"/>
    <x v="241"/>
    <x v="204"/>
    <s v="CUST2242"/>
    <s v="Santhosh R"/>
    <s v="Male"/>
    <n v="46"/>
    <x v="2"/>
    <s v="Tamil Nadu"/>
    <x v="1"/>
    <x v="3"/>
    <n v="1"/>
    <n v="114000"/>
    <n v="2"/>
    <n v="111720"/>
    <n v="9224.68"/>
    <x v="1"/>
    <s v="Completed"/>
    <x v="2"/>
    <s v="No"/>
  </r>
  <r>
    <s v="RIDEZONE BIKE SHOWROOM"/>
    <x v="242"/>
    <x v="137"/>
    <s v="CUST2243"/>
    <s v="Santhosh R"/>
    <s v="Male"/>
    <n v="30"/>
    <x v="3"/>
    <s v="Tamil Nadu"/>
    <x v="11"/>
    <x v="2"/>
    <n v="1"/>
    <n v="96000"/>
    <n v="5"/>
    <n v="91200"/>
    <n v="13168.96"/>
    <x v="4"/>
    <s v="Returned"/>
    <x v="2"/>
    <s v="No"/>
  </r>
  <r>
    <s v="RIDEZONE BIKE SHOWROOM"/>
    <x v="243"/>
    <x v="123"/>
    <s v="CUST2244"/>
    <s v="Suresh B"/>
    <s v="Male"/>
    <n v="40"/>
    <x v="7"/>
    <s v="Tamil Nadu"/>
    <x v="3"/>
    <x v="0"/>
    <n v="1"/>
    <n v="176000"/>
    <n v="2"/>
    <n v="172480"/>
    <n v="19768.48"/>
    <x v="3"/>
    <s v="Pending"/>
    <x v="3"/>
    <s v="No"/>
  </r>
  <r>
    <s v="RIDEZONE BIKE SHOWROOM"/>
    <x v="244"/>
    <x v="205"/>
    <s v="CUST2245"/>
    <s v="Divya M"/>
    <s v="Female"/>
    <n v="22"/>
    <x v="5"/>
    <s v="Tamil Nadu"/>
    <x v="7"/>
    <x v="1"/>
    <n v="1"/>
    <n v="171000"/>
    <n v="7"/>
    <n v="159030"/>
    <n v="19368.52"/>
    <x v="6"/>
    <s v="Returned"/>
    <x v="3"/>
    <s v="Yes"/>
  </r>
  <r>
    <s v="RIDEZONE BIKE SHOWROOM"/>
    <x v="245"/>
    <x v="206"/>
    <s v="CUST2246"/>
    <s v="Suresh B"/>
    <s v="Male"/>
    <n v="21"/>
    <x v="6"/>
    <s v="Tamil Nadu"/>
    <x v="4"/>
    <x v="2"/>
    <n v="1"/>
    <n v="124000"/>
    <n v="2"/>
    <n v="121520"/>
    <n v="10692.5"/>
    <x v="3"/>
    <s v="Completed"/>
    <x v="5"/>
    <s v="Yes"/>
  </r>
  <r>
    <s v="RIDEZONE BIKE SHOWROOM"/>
    <x v="246"/>
    <x v="207"/>
    <s v="CUST2247"/>
    <s v="Arun Kumar"/>
    <s v="Male"/>
    <n v="54"/>
    <x v="3"/>
    <s v="Tamil Nadu"/>
    <x v="4"/>
    <x v="0"/>
    <n v="1"/>
    <n v="93000"/>
    <n v="5"/>
    <n v="88350"/>
    <n v="6027.77"/>
    <x v="5"/>
    <s v="Completed"/>
    <x v="3"/>
    <s v="Yes"/>
  </r>
  <r>
    <s v="RIDEZONE BIKE SHOWROOM"/>
    <x v="247"/>
    <x v="208"/>
    <s v="CUST2248"/>
    <s v="Arun Kumar"/>
    <s v="Female"/>
    <n v="33"/>
    <x v="6"/>
    <s v="Tamil Nadu"/>
    <x v="5"/>
    <x v="1"/>
    <n v="1"/>
    <n v="196000"/>
    <n v="3"/>
    <n v="190120"/>
    <n v="26082.2"/>
    <x v="6"/>
    <s v="Cancelled"/>
    <x v="5"/>
    <s v="Yes"/>
  </r>
  <r>
    <s v="RIDEZONE BIKE SHOWROOM"/>
    <x v="248"/>
    <x v="209"/>
    <s v="CUST2249"/>
    <s v=" Suresh B "/>
    <s v="Male"/>
    <n v="51"/>
    <x v="8"/>
    <s v="Tamil Nadu"/>
    <x v="5"/>
    <x v="3"/>
    <n v="1"/>
    <n v="196000"/>
    <n v="0"/>
    <n v="196000"/>
    <n v="36470.74"/>
    <x v="3"/>
    <s v="Cancelled"/>
    <x v="3"/>
    <s v="No"/>
  </r>
  <r>
    <s v="RIDEZONE BIKE SHOWROOM"/>
    <x v="249"/>
    <x v="90"/>
    <s v="CUST2250"/>
    <s v="Suresh B"/>
    <s v="Male"/>
    <n v="41"/>
    <x v="5"/>
    <s v="Tamil Nadu"/>
    <x v="7"/>
    <x v="0"/>
    <n v="1"/>
    <n v="170000"/>
    <n v="2"/>
    <n v="166600"/>
    <n v="19960.64"/>
    <x v="6"/>
    <s v="Completed"/>
    <x v="5"/>
    <s v="No"/>
  </r>
  <r>
    <s v="RIDEZONE BIKE SHOWROOM"/>
    <x v="250"/>
    <x v="210"/>
    <s v="CUST2251"/>
    <s v="Santhosh R"/>
    <s v="Female"/>
    <n v="34"/>
    <x v="8"/>
    <s v="Tamil Nadu"/>
    <x v="2"/>
    <x v="3"/>
    <n v="1"/>
    <n v="96000"/>
    <n v="10"/>
    <n v="86400"/>
    <n v="3184.4"/>
    <x v="2"/>
    <s v="Completed"/>
    <x v="4"/>
    <s v="Yes"/>
  </r>
  <r>
    <s v="RIDEZONE BIKE SHOWROOM"/>
    <x v="251"/>
    <x v="25"/>
    <s v="CUST2252"/>
    <s v="Arun Kumar"/>
    <s v="Male"/>
    <n v="26"/>
    <x v="2"/>
    <s v="Tamil Nadu"/>
    <x v="9"/>
    <x v="2"/>
    <n v="1"/>
    <n v="87000"/>
    <n v="3"/>
    <n v="84390"/>
    <n v="12082.61"/>
    <x v="1"/>
    <s v="Cancelled"/>
    <x v="1"/>
    <s v="No"/>
  </r>
  <r>
    <s v="RIDEZONE BIKE SHOWROOM"/>
    <x v="252"/>
    <x v="211"/>
    <s v="CUST2253"/>
    <s v="Vignesh P"/>
    <s v="Female"/>
    <n v="27"/>
    <x v="2"/>
    <s v="Tamil Nadu"/>
    <x v="6"/>
    <x v="1"/>
    <n v="2"/>
    <n v="233000"/>
    <n v="3"/>
    <n v="452020"/>
    <n v="42967.199999999997"/>
    <x v="5"/>
    <s v="Returned"/>
    <x v="3"/>
    <s v="No"/>
  </r>
  <r>
    <s v="RIDEZONE BIKE SHOWROOM"/>
    <x v="253"/>
    <x v="212"/>
    <s v="CUST2254"/>
    <s v="Vignesh P"/>
    <s v="Female"/>
    <n v="0"/>
    <x v="5"/>
    <s v="Tamil Nadu"/>
    <x v="5"/>
    <x v="1"/>
    <n v="1"/>
    <n v="197000"/>
    <n v="10"/>
    <n v="177300"/>
    <n v="22253.599999999999"/>
    <x v="1"/>
    <s v="Returned"/>
    <x v="1"/>
    <s v="Yes"/>
  </r>
  <r>
    <s v="RIDEZONE BIKE SHOWROOM"/>
    <x v="254"/>
    <x v="213"/>
    <s v="CUST2255"/>
    <s v="Rahul K"/>
    <s v="Male"/>
    <n v="36"/>
    <x v="6"/>
    <s v="Tamil Nadu"/>
    <x v="2"/>
    <x v="2"/>
    <n v="2"/>
    <n v="96000"/>
    <n v="5"/>
    <n v="182400"/>
    <n v="22486.55"/>
    <x v="6"/>
    <s v="Completed"/>
    <x v="2"/>
    <s v="Yes"/>
  </r>
  <r>
    <s v="RIDEZONE BIKE SHOWROOM"/>
    <x v="255"/>
    <x v="214"/>
    <s v="CUST2256"/>
    <s v="Arun Kumar"/>
    <s v="Male"/>
    <n v="23"/>
    <x v="3"/>
    <s v="Tamil Nadu"/>
    <x v="3"/>
    <x v="1"/>
    <n v="1"/>
    <n v="177000"/>
    <n v="5"/>
    <n v="168150"/>
    <n v="26932.58"/>
    <x v="2"/>
    <s v="Pending"/>
    <x v="4"/>
    <s v="No"/>
  </r>
  <r>
    <s v="RIDEZONE BIKE SHOWROOM"/>
    <x v="256"/>
    <x v="215"/>
    <s v="CUST2257"/>
    <s v="Vignesh P"/>
    <s v="Male"/>
    <n v="44"/>
    <x v="1"/>
    <s v="Tamil Nadu"/>
    <x v="12"/>
    <x v="0"/>
    <n v="1"/>
    <n v="125000"/>
    <n v="0"/>
    <n v="125000"/>
    <n v="19896.060000000001"/>
    <x v="2"/>
    <s v="Returned"/>
    <x v="5"/>
    <s v="No"/>
  </r>
  <r>
    <s v="RIDEZONE BIKE SHOWROOM"/>
    <x v="257"/>
    <x v="216"/>
    <s v="CUST2258"/>
    <s v="Vignesh P"/>
    <s v="Female"/>
    <n v="26"/>
    <x v="6"/>
    <s v="Tamil Nadu"/>
    <x v="0"/>
    <x v="0"/>
    <n v="1"/>
    <n v="93000"/>
    <n v="5"/>
    <n v="88350"/>
    <n v="7493.13"/>
    <x v="5"/>
    <s v="Completed"/>
    <x v="5"/>
    <s v="No"/>
  </r>
  <r>
    <s v="RIDEZONE BIKE SHOWROOM"/>
    <x v="258"/>
    <x v="217"/>
    <s v="CUST2259"/>
    <s v="Santhosh R"/>
    <s v="Female"/>
    <n v="34"/>
    <x v="1"/>
    <s v="Tamil Nadu"/>
    <x v="1"/>
    <x v="1"/>
    <n v="1"/>
    <n v="115000"/>
    <n v="3"/>
    <n v="111550"/>
    <n v="16835.87"/>
    <x v="6"/>
    <s v="Returned"/>
    <x v="4"/>
    <s v="Yes"/>
  </r>
  <r>
    <s v="RIDEZONE BIKE SHOWROOM"/>
    <x v="259"/>
    <x v="218"/>
    <s v="CUST2260"/>
    <s v="Arun Kumar"/>
    <s v="Male"/>
    <n v="26"/>
    <x v="0"/>
    <s v="Tamil Nadu"/>
    <x v="8"/>
    <x v="1"/>
    <n v="1"/>
    <n v="127000"/>
    <n v="3"/>
    <n v="123190"/>
    <n v="15783.2"/>
    <x v="1"/>
    <s v="Returned"/>
    <x v="4"/>
    <s v="No"/>
  </r>
  <r>
    <s v="RIDEZONE BIKE SHOWROOM"/>
    <x v="260"/>
    <x v="98"/>
    <s v="CUST2261"/>
    <s v="Karthik Raj"/>
    <s v="Female"/>
    <n v="41"/>
    <x v="1"/>
    <s v="Tamil Nadu"/>
    <x v="6"/>
    <x v="0"/>
    <n v="1"/>
    <n v="235000"/>
    <n v="2"/>
    <n v="230300"/>
    <n v="34111.300000000003"/>
    <x v="6"/>
    <s v="Returned"/>
    <x v="2"/>
    <s v="Yes"/>
  </r>
  <r>
    <s v="RIDEZONE BIKE SHOWROOM"/>
    <x v="261"/>
    <x v="219"/>
    <s v="CUST2262"/>
    <s v="Priya S"/>
    <s v="Male"/>
    <n v="50"/>
    <x v="0"/>
    <s v="Tamil Nadu"/>
    <x v="3"/>
    <x v="2"/>
    <n v="1"/>
    <n v="173000"/>
    <n v="7"/>
    <n v="160890"/>
    <n v="6533"/>
    <x v="6"/>
    <s v="Returned"/>
    <x v="3"/>
    <s v="No"/>
  </r>
  <r>
    <s v="RIDEZONE BIKE SHOWROOM"/>
    <x v="262"/>
    <x v="220"/>
    <s v="CUST2263"/>
    <s v="Rahul K"/>
    <s v="Female"/>
    <n v="45"/>
    <x v="7"/>
    <s v="Tamil Nadu"/>
    <x v="1"/>
    <x v="1"/>
    <n v="1"/>
    <n v="116000"/>
    <n v="10"/>
    <n v="104400"/>
    <n v="3307.74"/>
    <x v="1"/>
    <s v="Pending"/>
    <x v="2"/>
    <s v="No"/>
  </r>
  <r>
    <s v="RIDEZONE BIKE SHOWROOM"/>
    <x v="263"/>
    <x v="221"/>
    <s v="CUST2264"/>
    <s v="Rahul K"/>
    <s v="Male"/>
    <n v="38"/>
    <x v="3"/>
    <s v="Tamil Nadu"/>
    <x v="1"/>
    <x v="2"/>
    <n v="1"/>
    <n v="116000"/>
    <n v="10"/>
    <n v="104400"/>
    <n v="10894.59"/>
    <x v="6"/>
    <s v="Completed"/>
    <x v="1"/>
    <s v="No"/>
  </r>
  <r>
    <s v="RIDEZONE BIKE SHOWROOM"/>
    <x v="264"/>
    <x v="222"/>
    <s v="CUST2265"/>
    <s v="Karthik Raj"/>
    <s v="Male"/>
    <n v="20"/>
    <x v="7"/>
    <s v="Tamil Nadu"/>
    <x v="6"/>
    <x v="1"/>
    <n v="1"/>
    <n v="236000"/>
    <n v="3"/>
    <n v="228920"/>
    <n v="19989.84"/>
    <x v="1"/>
    <s v="Completed"/>
    <x v="3"/>
    <s v="Yes"/>
  </r>
  <r>
    <s v="RIDEZONE BIKE SHOWROOM"/>
    <x v="265"/>
    <x v="92"/>
    <s v="CUST2266"/>
    <s v="Divya M"/>
    <s v="Male"/>
    <n v="23"/>
    <x v="2"/>
    <s v="Tamil Nadu"/>
    <x v="8"/>
    <x v="0"/>
    <n v="1"/>
    <n v="124000"/>
    <n v="3"/>
    <n v="120280"/>
    <n v="13391.15"/>
    <x v="6"/>
    <s v="Returned"/>
    <x v="4"/>
    <s v="Yes"/>
  </r>
  <r>
    <s v="RIDEZONE BIKE SHOWROOM"/>
    <x v="266"/>
    <x v="223"/>
    <s v="CUST2267"/>
    <s v="Vignesh P"/>
    <s v="Female"/>
    <n v="0"/>
    <x v="7"/>
    <s v="Tamil Nadu"/>
    <x v="1"/>
    <x v="3"/>
    <n v="1"/>
    <n v="117000"/>
    <n v="3"/>
    <n v="113490"/>
    <n v="12501.18"/>
    <x v="5"/>
    <s v="Completed"/>
    <x v="3"/>
    <s v="No"/>
  </r>
  <r>
    <s v="RIDEZONE BIKE SHOWROOM"/>
    <x v="267"/>
    <x v="224"/>
    <s v="CUST2268"/>
    <s v="Suresh B"/>
    <s v="Male"/>
    <n v="54"/>
    <x v="6"/>
    <s v="Tamil Nadu"/>
    <x v="8"/>
    <x v="3"/>
    <n v="1"/>
    <n v="127000"/>
    <n v="10"/>
    <n v="114300"/>
    <n v="4426.53"/>
    <x v="2"/>
    <s v="Pending"/>
    <x v="3"/>
    <s v="Yes"/>
  </r>
  <r>
    <s v="RIDEZONE BIKE SHOWROOM"/>
    <x v="268"/>
    <x v="225"/>
    <s v="CUST2269"/>
    <s v="Divya M"/>
    <s v="Male"/>
    <n v="55"/>
    <x v="5"/>
    <s v="Tamil Nadu"/>
    <x v="2"/>
    <x v="2"/>
    <n v="1"/>
    <n v="96000"/>
    <n v="5"/>
    <n v="91200"/>
    <n v="15851.89"/>
    <x v="5"/>
    <s v="Completed"/>
    <x v="1"/>
    <s v="No"/>
  </r>
  <r>
    <s v="RIDEZONE BIKE SHOWROOM"/>
    <x v="269"/>
    <x v="226"/>
    <s v="CUST2270"/>
    <s v="Rahul K"/>
    <s v="Male"/>
    <n v="51"/>
    <x v="0"/>
    <s v="Tamil Nadu"/>
    <x v="2"/>
    <x v="3"/>
    <n v="1"/>
    <n v="98000"/>
    <n v="7"/>
    <n v="91140"/>
    <n v="14101.94"/>
    <x v="3"/>
    <s v="Pending"/>
    <x v="5"/>
    <s v="Yes"/>
  </r>
  <r>
    <s v="RIDEZONE BIKE SHOWROOM"/>
    <x v="270"/>
    <x v="227"/>
    <s v="CUST2271"/>
    <s v="Rahul K"/>
    <s v="Female"/>
    <n v="33"/>
    <x v="5"/>
    <s v="Tamil Nadu"/>
    <x v="1"/>
    <x v="3"/>
    <n v="1"/>
    <n v="116000"/>
    <n v="5"/>
    <n v="110200"/>
    <n v="18440.12"/>
    <x v="5"/>
    <s v="Pending"/>
    <x v="5"/>
    <s v="No"/>
  </r>
  <r>
    <s v="RIDEZONE BIKE SHOWROOM"/>
    <x v="271"/>
    <x v="41"/>
    <s v="CUST2272"/>
    <s v="Rahul K"/>
    <s v="Female"/>
    <n v="22"/>
    <x v="0"/>
    <s v="Tamil Nadu"/>
    <x v="1"/>
    <x v="0"/>
    <n v="1"/>
    <n v="115000"/>
    <n v="5"/>
    <n v="109250"/>
    <n v="16233.2"/>
    <x v="4"/>
    <s v="Cancelled"/>
    <x v="5"/>
    <s v="No"/>
  </r>
  <r>
    <s v="RIDEZONE BIKE SHOWROOM"/>
    <x v="272"/>
    <x v="228"/>
    <s v="CUST2273"/>
    <s v="Rahul K"/>
    <s v="Male"/>
    <n v="32"/>
    <x v="3"/>
    <s v="Tamil Nadu"/>
    <x v="9"/>
    <x v="0"/>
    <n v="1"/>
    <n v="86000"/>
    <n v="5"/>
    <n v="81700"/>
    <n v="9596.18"/>
    <x v="1"/>
    <s v="Completed"/>
    <x v="3"/>
    <s v="Yes"/>
  </r>
  <r>
    <s v="RIDEZONE BIKE SHOWROOM"/>
    <x v="273"/>
    <x v="229"/>
    <s v="CUST2274"/>
    <s v="Priya S"/>
    <s v="Male"/>
    <n v="24"/>
    <x v="1"/>
    <s v="Tamil Nadu"/>
    <x v="8"/>
    <x v="1"/>
    <n v="2"/>
    <n v="125000"/>
    <n v="0"/>
    <n v="250000"/>
    <n v="48832.61"/>
    <x v="6"/>
    <s v="Completed"/>
    <x v="4"/>
    <s v="Yes"/>
  </r>
  <r>
    <s v="RIDEZONE BIKE SHOWROOM"/>
    <x v="274"/>
    <x v="24"/>
    <s v="CUST2275"/>
    <s v="Vignesh P"/>
    <s v="Female"/>
    <n v="36"/>
    <x v="5"/>
    <s v="Tamil Nadu"/>
    <x v="9"/>
    <x v="1"/>
    <n v="1"/>
    <n v="86000"/>
    <n v="0"/>
    <n v="86000"/>
    <n v="12986.39"/>
    <x v="4"/>
    <s v="Returned"/>
    <x v="1"/>
    <s v="Yes"/>
  </r>
  <r>
    <s v="RIDEZONE BIKE SHOWROOM"/>
    <x v="275"/>
    <x v="219"/>
    <s v="CUST2276"/>
    <s v="Karthik Raj"/>
    <s v="Female"/>
    <n v="22"/>
    <x v="8"/>
    <s v="Tamil Nadu"/>
    <x v="5"/>
    <x v="0"/>
    <n v="1"/>
    <n v="197000"/>
    <n v="10"/>
    <n v="177300"/>
    <n v="9022.2199999999993"/>
    <x v="5"/>
    <s v="Cancelled"/>
    <x v="5"/>
    <s v="Yes"/>
  </r>
  <r>
    <s v="RIDEZONE BIKE SHOWROOM"/>
    <x v="276"/>
    <x v="45"/>
    <s v="CUST2277"/>
    <s v="Priya S"/>
    <s v="Female"/>
    <n v="34"/>
    <x v="13"/>
    <s v="Tamil Nadu"/>
    <x v="7"/>
    <x v="3"/>
    <n v="1"/>
    <n v="172000"/>
    <n v="0"/>
    <n v="172000"/>
    <n v="28056.89"/>
    <x v="1"/>
    <s v="Cancelled"/>
    <x v="3"/>
    <s v="No"/>
  </r>
  <r>
    <s v="RIDEZONE BIKE SHOWROOM"/>
    <x v="277"/>
    <x v="230"/>
    <s v="CUST2278"/>
    <s v="Karthik Raj"/>
    <s v="Female"/>
    <n v="55"/>
    <x v="5"/>
    <s v="Tamil Nadu"/>
    <x v="9"/>
    <x v="2"/>
    <n v="1"/>
    <n v="83000"/>
    <n v="7"/>
    <n v="77190"/>
    <n v="6507.32"/>
    <x v="6"/>
    <s v="Pending"/>
    <x v="2"/>
    <s v="Yes"/>
  </r>
  <r>
    <s v="RIDEZONE BIKE SHOWROOM"/>
    <x v="278"/>
    <x v="231"/>
    <s v="CUST2279"/>
    <s v="Santhosh R"/>
    <s v="Male"/>
    <n v="23"/>
    <x v="5"/>
    <s v="Tamil Nadu"/>
    <x v="2"/>
    <x v="3"/>
    <n v="1"/>
    <n v="98000"/>
    <n v="2"/>
    <n v="96040"/>
    <n v="18252.04"/>
    <x v="6"/>
    <s v="Cancelled"/>
    <x v="4"/>
    <s v="Yes"/>
  </r>
  <r>
    <s v="RIDEZONE BIKE SHOWROOM"/>
    <x v="279"/>
    <x v="232"/>
    <s v="CUST2280"/>
    <s v="Divya M"/>
    <s v="Male"/>
    <n v="26"/>
    <x v="6"/>
    <s v="Tamil Nadu"/>
    <x v="6"/>
    <x v="2"/>
    <n v="2"/>
    <n v="235000"/>
    <n v="2"/>
    <n v="460600"/>
    <n v="56138.93"/>
    <x v="6"/>
    <s v="Returned"/>
    <x v="2"/>
    <s v="No"/>
  </r>
  <r>
    <s v="RIDEZONE BIKE SHOWROOM"/>
    <x v="280"/>
    <x v="18"/>
    <s v="CUST2281"/>
    <s v="Priya S"/>
    <s v="Male"/>
    <n v="47"/>
    <x v="2"/>
    <s v="Tamil Nadu"/>
    <x v="6"/>
    <x v="3"/>
    <n v="1"/>
    <n v="234000"/>
    <n v="7"/>
    <n v="217620"/>
    <n v="19182.52"/>
    <x v="3"/>
    <s v="Pending"/>
    <x v="3"/>
    <s v="No"/>
  </r>
  <r>
    <s v="RIDEZONE BIKE SHOWROOM"/>
    <x v="281"/>
    <x v="53"/>
    <s v="CUST2282"/>
    <s v="Rahul K"/>
    <s v="Female"/>
    <n v="48"/>
    <x v="3"/>
    <s v="Tamil Nadu"/>
    <x v="7"/>
    <x v="1"/>
    <n v="1"/>
    <n v="172000"/>
    <n v="0"/>
    <n v="166840"/>
    <n v="14560.44"/>
    <x v="6"/>
    <s v="Pending"/>
    <x v="3"/>
    <s v="Yes"/>
  </r>
  <r>
    <s v="RIDEZONE BIKE SHOWROOM"/>
    <x v="282"/>
    <x v="233"/>
    <s v="CUST2283"/>
    <s v="Arun Kumar"/>
    <s v="Male"/>
    <n v="24"/>
    <x v="5"/>
    <s v="Tamil Nadu"/>
    <x v="7"/>
    <x v="1"/>
    <n v="2"/>
    <n v="169000"/>
    <n v="3"/>
    <n v="327860"/>
    <n v="34467.43"/>
    <x v="3"/>
    <s v="Completed"/>
    <x v="5"/>
    <s v="No"/>
  </r>
  <r>
    <s v="RIDEZONE BIKE SHOWROOM"/>
    <x v="283"/>
    <x v="234"/>
    <s v="CUST2284"/>
    <s v="Priya S"/>
    <s v="Female"/>
    <n v="5"/>
    <x v="6"/>
    <s v="Tamil Nadu"/>
    <x v="1"/>
    <x v="0"/>
    <n v="1"/>
    <n v="114000"/>
    <n v="3"/>
    <n v="110580"/>
    <n v="16290.62"/>
    <x v="4"/>
    <s v="Cancelled"/>
    <x v="5"/>
    <s v="Yes"/>
  </r>
  <r>
    <s v="RIDEZONE BIKE SHOWROOM"/>
    <x v="284"/>
    <x v="235"/>
    <s v="CUST2285"/>
    <s v="Santhosh R"/>
    <s v="Female"/>
    <n v="29"/>
    <x v="5"/>
    <s v="Tamil Nadu"/>
    <x v="8"/>
    <x v="0"/>
    <n v="1"/>
    <n v="124000"/>
    <n v="5"/>
    <n v="117800"/>
    <n v="18710.77"/>
    <x v="3"/>
    <s v="Returned"/>
    <x v="0"/>
    <s v="Yes"/>
  </r>
  <r>
    <s v="RIDEZONE BIKE SHOWROOM"/>
    <x v="285"/>
    <x v="236"/>
    <s v="CUST2286"/>
    <s v="Santhosh R"/>
    <s v="Female"/>
    <n v="44"/>
    <x v="3"/>
    <s v="Tamil Nadu"/>
    <x v="7"/>
    <x v="0"/>
    <n v="1"/>
    <n v="172000"/>
    <n v="2"/>
    <n v="168560"/>
    <n v="23710.85"/>
    <x v="2"/>
    <s v="Cancelled"/>
    <x v="4"/>
    <s v="No"/>
  </r>
  <r>
    <s v="RIDEZONE BIKE SHOWROOM"/>
    <x v="286"/>
    <x v="186"/>
    <s v="CUST2287"/>
    <s v="Divya M"/>
    <s v="Female"/>
    <n v="53"/>
    <x v="5"/>
    <s v="Tamil Nadu"/>
    <x v="7"/>
    <x v="2"/>
    <n v="1"/>
    <n v="170000"/>
    <n v="3"/>
    <n v="164900"/>
    <n v="20311.349999999999"/>
    <x v="4"/>
    <s v="Cancelled"/>
    <x v="1"/>
    <s v="No"/>
  </r>
  <r>
    <s v="RIDEZONE BIKE SHOWROOM"/>
    <x v="287"/>
    <x v="233"/>
    <s v="CUST2288"/>
    <s v="Divya M"/>
    <s v="Male"/>
    <n v="52"/>
    <x v="0"/>
    <s v="Tamil Nadu"/>
    <x v="3"/>
    <x v="2"/>
    <n v="1"/>
    <n v="174000"/>
    <n v="5"/>
    <n v="165300"/>
    <n v="26122.15"/>
    <x v="1"/>
    <s v="Pending"/>
    <x v="1"/>
    <s v="Yes"/>
  </r>
  <r>
    <s v="RIDEZONE BIKE SHOWROOM"/>
    <x v="288"/>
    <x v="237"/>
    <s v="CUST2289"/>
    <s v="Suresh B"/>
    <s v="Male"/>
    <n v="50"/>
    <x v="7"/>
    <s v="Tamil Nadu"/>
    <x v="8"/>
    <x v="1"/>
    <n v="1"/>
    <n v="127000"/>
    <n v="0"/>
    <n v="127000"/>
    <n v="20601.689999999999"/>
    <x v="5"/>
    <s v="Pending"/>
    <x v="4"/>
    <s v="Yes"/>
  </r>
  <r>
    <s v="RIDEZONE BIKE SHOWROOM"/>
    <x v="289"/>
    <x v="238"/>
    <s v="CUST2290"/>
    <s v="Priya S"/>
    <s v="Female"/>
    <n v="23"/>
    <x v="5"/>
    <s v="Tamil Nadu"/>
    <x v="6"/>
    <x v="2"/>
    <n v="1"/>
    <n v="236000"/>
    <n v="0"/>
    <n v="236000"/>
    <n v="26692.61"/>
    <x v="4"/>
    <s v="Completed"/>
    <x v="3"/>
    <s v="No"/>
  </r>
  <r>
    <s v="RIDEZONE BIKE SHOWROOM"/>
    <x v="290"/>
    <x v="239"/>
    <s v="CUST2291"/>
    <s v="Priya S"/>
    <s v="Female"/>
    <n v="29"/>
    <x v="1"/>
    <s v="Tamil Nadu"/>
    <x v="0"/>
    <x v="2"/>
    <n v="1"/>
    <n v="95000"/>
    <n v="0"/>
    <n v="90250"/>
    <n v="14205.54"/>
    <x v="6"/>
    <s v="Returned"/>
    <x v="5"/>
    <s v="Yes"/>
  </r>
  <r>
    <s v="RIDEZONE BIKE SHOWROOM"/>
    <x v="291"/>
    <x v="240"/>
    <s v="CUST2292"/>
    <s v="Priya S"/>
    <s v="Male"/>
    <n v="46"/>
    <x v="7"/>
    <s v="Tamil Nadu"/>
    <x v="8"/>
    <x v="2"/>
    <n v="1"/>
    <n v="123000"/>
    <n v="0"/>
    <n v="123000"/>
    <n v="24073.34"/>
    <x v="2"/>
    <s v="Completed"/>
    <x v="5"/>
    <s v="Yes"/>
  </r>
  <r>
    <s v="RIDEZONE BIKE SHOWROOM"/>
    <x v="292"/>
    <x v="58"/>
    <s v="CUST2293"/>
    <s v="Vignesh P"/>
    <s v="Female"/>
    <n v="53"/>
    <x v="6"/>
    <s v="Tamil Nadu"/>
    <x v="0"/>
    <x v="0"/>
    <n v="1"/>
    <n v="96000"/>
    <n v="7"/>
    <n v="89280"/>
    <n v="4866.95"/>
    <x v="4"/>
    <s v="Pending"/>
    <x v="2"/>
    <s v="No"/>
  </r>
  <r>
    <s v="RIDEZONE BIKE SHOWROOM"/>
    <x v="293"/>
    <x v="241"/>
    <s v="CUST2294"/>
    <s v="Vignesh P"/>
    <s v="Female"/>
    <n v="38"/>
    <x v="8"/>
    <s v="Tamil Nadu"/>
    <x v="4"/>
    <x v="2"/>
    <n v="1"/>
    <n v="125000"/>
    <n v="5"/>
    <n v="118750"/>
    <n v="9762.1200000000008"/>
    <x v="5"/>
    <s v="Completed"/>
    <x v="5"/>
    <s v="Yes"/>
  </r>
  <r>
    <s v="RIDEZONE BIKE SHOWROOM"/>
    <x v="294"/>
    <x v="242"/>
    <s v="CUST2295"/>
    <s v="Karthik Raj"/>
    <s v="Male"/>
    <n v="43"/>
    <x v="0"/>
    <s v="Tamil Nadu"/>
    <x v="1"/>
    <x v="1"/>
    <n v="1"/>
    <n v="114000"/>
    <n v="10"/>
    <n v="102600"/>
    <n v="2677.35"/>
    <x v="5"/>
    <s v="Cancelled"/>
    <x v="5"/>
    <s v="No"/>
  </r>
  <r>
    <s v="RIDEZONE BIKE SHOWROOM"/>
    <x v="295"/>
    <x v="243"/>
    <s v="CUST2296"/>
    <s v="Santhosh R"/>
    <s v="Male"/>
    <n v="55"/>
    <x v="3"/>
    <s v="Tamil Nadu"/>
    <x v="6"/>
    <x v="3"/>
    <n v="1"/>
    <n v="237000"/>
    <n v="5"/>
    <n v="225150"/>
    <n v="18818.599999999999"/>
    <x v="2"/>
    <s v="Cancelled"/>
    <x v="1"/>
    <s v="No"/>
  </r>
  <r>
    <s v="RIDEZONE BIKE SHOWROOM"/>
    <x v="296"/>
    <x v="244"/>
    <s v="CUST2297"/>
    <s v="Karthik Raj"/>
    <s v="Male"/>
    <n v="30"/>
    <x v="5"/>
    <s v="Tamil Nadu"/>
    <x v="4"/>
    <x v="1"/>
    <n v="2"/>
    <n v="197000"/>
    <n v="0"/>
    <n v="394000"/>
    <n v="51323.34"/>
    <x v="6"/>
    <s v="Completed"/>
    <x v="0"/>
    <s v="No"/>
  </r>
  <r>
    <s v="RIDEZONE BIKE SHOWROOM"/>
    <x v="297"/>
    <x v="33"/>
    <s v="CUST2298"/>
    <s v="Suresh B"/>
    <s v="Female"/>
    <n v="36"/>
    <x v="11"/>
    <s v="Tamil Nadu"/>
    <x v="9"/>
    <x v="0"/>
    <n v="1"/>
    <n v="85000"/>
    <n v="7"/>
    <n v="79050"/>
    <n v="8309.15"/>
    <x v="5"/>
    <s v="Returned"/>
    <x v="2"/>
    <s v="No"/>
  </r>
  <r>
    <s v="RIDEZONE BIKE SHOWROOM"/>
    <x v="298"/>
    <x v="245"/>
    <s v="CUST2299"/>
    <s v="Divya M"/>
    <s v="Male"/>
    <n v="32"/>
    <x v="0"/>
    <s v="Tamil Nadu"/>
    <x v="6"/>
    <x v="0"/>
    <n v="2"/>
    <n v="234000"/>
    <n v="10"/>
    <n v="421200"/>
    <n v="28396.27"/>
    <x v="3"/>
    <s v="Pending"/>
    <x v="3"/>
    <s v="Yes"/>
  </r>
  <r>
    <s v="RIDEZONE BIKE SHOWROOM"/>
    <x v="299"/>
    <x v="246"/>
    <s v="CUST2300"/>
    <s v="Vignesh P"/>
    <s v="Female"/>
    <n v="42"/>
    <x v="1"/>
    <s v="Tamil Nadu"/>
    <x v="4"/>
    <x v="2"/>
    <n v="1"/>
    <n v="124000"/>
    <n v="0"/>
    <n v="124000"/>
    <n v="12447.36"/>
    <x v="5"/>
    <s v="Completed"/>
    <x v="4"/>
    <s v="No"/>
  </r>
  <r>
    <s v="RIDEZONE BIKE SHOWROOM"/>
    <x v="300"/>
    <x v="247"/>
    <s v="CUST2301"/>
    <s v=" Vignesh P "/>
    <s v="Male"/>
    <n v="49"/>
    <x v="3"/>
    <s v="Tamil Nadu"/>
    <x v="1"/>
    <x v="3"/>
    <n v="1"/>
    <n v="115000"/>
    <n v="2"/>
    <n v="112700"/>
    <n v="14632.18"/>
    <x v="1"/>
    <s v="Returned"/>
    <x v="5"/>
    <s v="Yes"/>
  </r>
  <r>
    <s v="RIDEZONE BIKE SHOWROOM"/>
    <x v="301"/>
    <x v="248"/>
    <s v="CUST2302"/>
    <s v="Divya M"/>
    <s v="Female"/>
    <n v="54"/>
    <x v="8"/>
    <s v="Tamil Nadu"/>
    <x v="1"/>
    <x v="1"/>
    <n v="1"/>
    <n v="115000"/>
    <n v="0"/>
    <n v="115000"/>
    <n v="14219.4"/>
    <x v="2"/>
    <s v="Pending"/>
    <x v="1"/>
    <s v="No"/>
  </r>
  <r>
    <s v="RIDEZONE BIKE SHOWROOM"/>
    <x v="302"/>
    <x v="249"/>
    <s v="CUST2303"/>
    <s v="Rahul K"/>
    <s v="Female"/>
    <n v="34"/>
    <x v="0"/>
    <s v="Tamil Nadu"/>
    <x v="3"/>
    <x v="3"/>
    <n v="1"/>
    <n v="175000"/>
    <n v="0"/>
    <n v="175000"/>
    <n v="30463.86"/>
    <x v="5"/>
    <s v="Cancelled"/>
    <x v="0"/>
    <s v="No"/>
  </r>
  <r>
    <s v="RIDEZONE BIKE SHOWROOM"/>
    <x v="303"/>
    <x v="250"/>
    <s v="CUST2304"/>
    <s v="Rahul K"/>
    <s v="Female"/>
    <n v="50"/>
    <x v="7"/>
    <s v="Tamil Nadu"/>
    <x v="0"/>
    <x v="2"/>
    <n v="1"/>
    <n v="95000"/>
    <n v="0"/>
    <n v="95000"/>
    <n v="14578.11"/>
    <x v="5"/>
    <s v="Pending"/>
    <x v="3"/>
    <s v="Yes"/>
  </r>
  <r>
    <s v="RIDEZONE BIKE SHOWROOM"/>
    <x v="304"/>
    <x v="251"/>
    <s v="CUST2305"/>
    <s v="Rahul K"/>
    <s v="Male"/>
    <n v="35"/>
    <x v="1"/>
    <s v="Tamil Nadu"/>
    <x v="3"/>
    <x v="0"/>
    <n v="1"/>
    <n v="174000"/>
    <n v="3"/>
    <n v="168780"/>
    <n v="28742.46"/>
    <x v="6"/>
    <s v="Completed"/>
    <x v="3"/>
    <s v="No"/>
  </r>
  <r>
    <s v="RIDEZONE BIKE SHOWROOM"/>
    <x v="305"/>
    <x v="65"/>
    <s v="CUST2306"/>
    <s v="Santhosh R"/>
    <s v="Female"/>
    <n v="40"/>
    <x v="0"/>
    <s v="Tamil Nadu"/>
    <x v="6"/>
    <x v="1"/>
    <n v="1"/>
    <n v="236000"/>
    <n v="0"/>
    <n v="236000"/>
    <n v="27904.34"/>
    <x v="1"/>
    <s v="Cancelled"/>
    <x v="2"/>
    <s v="Yes"/>
  </r>
  <r>
    <s v="RIDEZONE BIKE SHOWROOM"/>
    <x v="306"/>
    <x v="49"/>
    <s v="CUST2307"/>
    <s v="Rahul K"/>
    <s v="Female"/>
    <n v="52"/>
    <x v="5"/>
    <s v="Tamil Nadu"/>
    <x v="6"/>
    <x v="2"/>
    <n v="1"/>
    <n v="235000"/>
    <n v="5"/>
    <n v="223250"/>
    <n v="13451.75"/>
    <x v="2"/>
    <s v="Completed"/>
    <x v="3"/>
    <s v="No"/>
  </r>
  <r>
    <s v="RIDEZONE BIKE SHOWROOM"/>
    <x v="307"/>
    <x v="252"/>
    <s v="CUST2308"/>
    <s v="Divya M"/>
    <s v="Male"/>
    <n v="0"/>
    <x v="0"/>
    <s v="Tamil Nadu"/>
    <x v="4"/>
    <x v="3"/>
    <n v="1"/>
    <n v="124000"/>
    <n v="5"/>
    <n v="117800"/>
    <n v="12434.6"/>
    <x v="3"/>
    <s v="Cancelled"/>
    <x v="2"/>
    <s v="No"/>
  </r>
  <r>
    <s v="RIDEZONE BIKE SHOWROOM"/>
    <x v="308"/>
    <x v="74"/>
    <s v="CUST2309"/>
    <s v="Vignesh P"/>
    <s v="Female"/>
    <n v="43"/>
    <x v="5"/>
    <s v="Tamil Nadu"/>
    <x v="4"/>
    <x v="1"/>
    <n v="1"/>
    <n v="124000"/>
    <n v="5"/>
    <n v="117800"/>
    <n v="10653.4"/>
    <x v="0"/>
    <s v="Pending"/>
    <x v="5"/>
    <s v="Yes"/>
  </r>
  <r>
    <s v="RIDEZONE BIKE SHOWROOM"/>
    <x v="309"/>
    <x v="253"/>
    <s v="CUST2310"/>
    <s v=" Priya S "/>
    <s v="Female"/>
    <n v="29"/>
    <x v="2"/>
    <s v="Tamil Nadu"/>
    <x v="0"/>
    <x v="0"/>
    <n v="1"/>
    <n v="96000"/>
    <n v="5"/>
    <n v="91200"/>
    <n v="6455.32"/>
    <x v="1"/>
    <s v="Returned"/>
    <x v="2"/>
    <s v="Yes"/>
  </r>
  <r>
    <s v="RIDEZONE BIKE SHOWROOM"/>
    <x v="310"/>
    <x v="254"/>
    <s v="CUST2311"/>
    <s v="Vignesh P"/>
    <s v="Male"/>
    <n v="23"/>
    <x v="3"/>
    <s v="Tamil Nadu"/>
    <x v="1"/>
    <x v="2"/>
    <n v="0"/>
    <n v="115000"/>
    <n v="3"/>
    <n v="111550"/>
    <n v="14092.49"/>
    <x v="5"/>
    <s v="Pending"/>
    <x v="1"/>
    <s v="No"/>
  </r>
  <r>
    <s v="RIDEZONE BIKE SHOWROOM"/>
    <x v="311"/>
    <x v="76"/>
    <s v="CUST2312"/>
    <s v="Rahul K"/>
    <s v="Male"/>
    <n v="36"/>
    <x v="6"/>
    <s v="Tamil Nadu"/>
    <x v="0"/>
    <x v="1"/>
    <n v="1"/>
    <n v="95000"/>
    <n v="3"/>
    <n v="92150"/>
    <n v="13942.5"/>
    <x v="6"/>
    <s v="Cancelled"/>
    <x v="3"/>
    <s v="Yes"/>
  </r>
  <r>
    <s v="RIDEZONE BIKE SHOWROOM"/>
    <x v="312"/>
    <x v="255"/>
    <s v="CUST2313"/>
    <s v="Santhosh R"/>
    <s v="Male"/>
    <n v="51"/>
    <x v="5"/>
    <s v="Tamil Nadu"/>
    <x v="6"/>
    <x v="1"/>
    <n v="2"/>
    <n v="235000"/>
    <n v="3"/>
    <n v="455900"/>
    <n v="70964.91"/>
    <x v="5"/>
    <s v="Returned"/>
    <x v="3"/>
    <s v="Yes"/>
  </r>
  <r>
    <s v="RIDEZONE BIKE SHOWROOM"/>
    <x v="313"/>
    <x v="4"/>
    <s v="CUST2314"/>
    <s v="Priya S"/>
    <s v="Female"/>
    <n v="25"/>
    <x v="3"/>
    <s v="Tamil Nadu"/>
    <x v="2"/>
    <x v="2"/>
    <n v="1"/>
    <n v="99000"/>
    <n v="7"/>
    <n v="92070"/>
    <n v="10041.299999999999"/>
    <x v="6"/>
    <s v="Cancelled"/>
    <x v="3"/>
    <s v="No"/>
  </r>
  <r>
    <s v="RIDEZONE BIKE SHOWROOM"/>
    <x v="314"/>
    <x v="256"/>
    <s v="CUST2315"/>
    <s v="Vignesh P"/>
    <s v="Male"/>
    <n v="48"/>
    <x v="7"/>
    <s v="Tamil Nadu"/>
    <x v="7"/>
    <x v="2"/>
    <n v="1"/>
    <n v="170000"/>
    <n v="3"/>
    <n v="164900"/>
    <n v="17042.93"/>
    <x v="5"/>
    <s v="Pending"/>
    <x v="3"/>
    <s v="Yes"/>
  </r>
  <r>
    <s v="RIDEZONE BIKE SHOWROOM"/>
    <x v="315"/>
    <x v="257"/>
    <s v="CUST2316"/>
    <s v="Arun Kumar"/>
    <s v="Male"/>
    <n v="55"/>
    <x v="8"/>
    <s v="Tamil Nadu"/>
    <x v="7"/>
    <x v="1"/>
    <n v="1"/>
    <n v="170000"/>
    <n v="0"/>
    <n v="170000"/>
    <n v="35450.699999999997"/>
    <x v="6"/>
    <s v="Completed"/>
    <x v="1"/>
    <s v="Yes"/>
  </r>
  <r>
    <s v="RIDEZONE BIKE SHOWROOM"/>
    <x v="316"/>
    <x v="194"/>
    <s v="CUST2317"/>
    <s v="Priya S"/>
    <s v="Male"/>
    <n v="28"/>
    <x v="7"/>
    <s v="Tamil Nadu"/>
    <x v="0"/>
    <x v="0"/>
    <n v="1"/>
    <n v="94000"/>
    <n v="10"/>
    <n v="84600"/>
    <n v="8074.5"/>
    <x v="6"/>
    <s v="Cancelled"/>
    <x v="2"/>
    <s v="No"/>
  </r>
  <r>
    <s v="RIDEZONE BIKE SHOWROOM"/>
    <x v="317"/>
    <x v="258"/>
    <s v="CUST2318"/>
    <s v="Vignesh P"/>
    <s v="Female"/>
    <n v="49"/>
    <x v="2"/>
    <s v="Tamil Nadu"/>
    <x v="1"/>
    <x v="3"/>
    <n v="1"/>
    <n v="114000"/>
    <n v="10"/>
    <n v="102600"/>
    <n v="6302.55"/>
    <x v="2"/>
    <s v="Pending"/>
    <x v="4"/>
    <s v="No"/>
  </r>
  <r>
    <s v="RIDEZONE BIKE SHOWROOM"/>
    <x v="318"/>
    <x v="259"/>
    <s v="CUST2319"/>
    <s v="Rahul K"/>
    <s v="Female"/>
    <n v="28"/>
    <x v="3"/>
    <s v="Tamil Nadu"/>
    <x v="7"/>
    <x v="1"/>
    <n v="1"/>
    <n v="169000"/>
    <n v="3"/>
    <n v="163930"/>
    <n v="31895.93"/>
    <x v="0"/>
    <s v="Returned"/>
    <x v="2"/>
    <s v="No"/>
  </r>
  <r>
    <s v="RIDEZONE BIKE SHOWROOM"/>
    <x v="319"/>
    <x v="260"/>
    <s v="CUST2320"/>
    <s v="Suresh B"/>
    <s v="Female"/>
    <n v="43"/>
    <x v="7"/>
    <s v="Tamil Nadu"/>
    <x v="9"/>
    <x v="1"/>
    <n v="1"/>
    <n v="86000"/>
    <n v="2"/>
    <n v="84280"/>
    <n v="8977.36"/>
    <x v="4"/>
    <s v="Pending"/>
    <x v="0"/>
    <s v="No"/>
  </r>
  <r>
    <s v="RIDEZONE BIKE SHOWROOM"/>
    <x v="320"/>
    <x v="120"/>
    <s v="CUST2321"/>
    <s v=" Divya M "/>
    <s v="Female"/>
    <n v="38"/>
    <x v="1"/>
    <s v="Tamil Nadu"/>
    <x v="5"/>
    <x v="2"/>
    <n v="1"/>
    <n v="195000"/>
    <n v="10"/>
    <n v="175500"/>
    <n v="17794.25"/>
    <x v="6"/>
    <s v="Pending"/>
    <x v="0"/>
    <s v="No"/>
  </r>
  <r>
    <s v="RIDEZONE BIKE SHOWROOM"/>
    <x v="321"/>
    <x v="261"/>
    <s v="CUST2322"/>
    <s v="Arun Kumar"/>
    <s v="Male"/>
    <n v="40"/>
    <x v="6"/>
    <s v="Tamil Nadu"/>
    <x v="0"/>
    <x v="0"/>
    <n v="1"/>
    <n v="95000"/>
    <n v="10"/>
    <n v="85500"/>
    <n v="4300.6099999999997"/>
    <x v="5"/>
    <s v="Pending"/>
    <x v="4"/>
    <s v="No"/>
  </r>
  <r>
    <s v="RIDEZONE BIKE SHOWROOM"/>
    <x v="322"/>
    <x v="262"/>
    <s v="CUST2323"/>
    <s v="Santhosh R"/>
    <s v="Male"/>
    <n v="20"/>
    <x v="5"/>
    <s v="Tamil Nadu"/>
    <x v="7"/>
    <x v="3"/>
    <n v="1"/>
    <n v="172000"/>
    <n v="0"/>
    <n v="172000"/>
    <n v="33034.79"/>
    <x v="4"/>
    <s v="Cancelled"/>
    <x v="2"/>
    <s v="No"/>
  </r>
  <r>
    <s v="RIDEZONE BIKE SHOWROOM"/>
    <x v="323"/>
    <x v="86"/>
    <s v="CUST2324"/>
    <s v="Santhosh R"/>
    <s v="Male"/>
    <n v="24"/>
    <x v="0"/>
    <s v="Tamil Nadu"/>
    <x v="3"/>
    <x v="2"/>
    <n v="1"/>
    <n v="174000"/>
    <n v="0"/>
    <n v="174000"/>
    <n v="32715.41"/>
    <x v="5"/>
    <s v="Returned"/>
    <x v="4"/>
    <s v="Yes"/>
  </r>
  <r>
    <s v="RIDEZONE BIKE SHOWROOM"/>
    <x v="324"/>
    <x v="263"/>
    <s v="CUST2325"/>
    <s v="Santhosh R"/>
    <s v="Male"/>
    <n v="32"/>
    <x v="7"/>
    <s v="Tamil Nadu"/>
    <x v="8"/>
    <x v="2"/>
    <n v="1"/>
    <n v="125000"/>
    <n v="2"/>
    <n v="122500"/>
    <n v="13935.71"/>
    <x v="2"/>
    <s v="Returned"/>
    <x v="3"/>
    <s v="No"/>
  </r>
  <r>
    <s v="RIDEZONE BIKE SHOWROOM"/>
    <x v="325"/>
    <x v="256"/>
    <s v="CUST2326"/>
    <s v="Divya M"/>
    <s v="Female"/>
    <n v="27"/>
    <x v="5"/>
    <s v="Tamil Nadu"/>
    <x v="4"/>
    <x v="3"/>
    <n v="1"/>
    <n v="123000"/>
    <n v="10"/>
    <n v="110700"/>
    <n v="923.67"/>
    <x v="3"/>
    <s v="Cancelled"/>
    <x v="4"/>
    <s v="Yes"/>
  </r>
  <r>
    <s v="RIDEZONE BIKE SHOWROOM"/>
    <x v="326"/>
    <x v="42"/>
    <s v="CUST2327"/>
    <s v="Vignesh P"/>
    <s v="Male"/>
    <n v="27"/>
    <x v="1"/>
    <s v="Tamil Nadu"/>
    <x v="0"/>
    <x v="0"/>
    <n v="1"/>
    <n v="95000"/>
    <n v="0"/>
    <n v="95000"/>
    <n v="18992.09"/>
    <x v="5"/>
    <s v="Returned"/>
    <x v="3"/>
    <s v="Yes"/>
  </r>
  <r>
    <s v="RIDEZONE BIKE SHOWROOM"/>
    <x v="327"/>
    <x v="264"/>
    <s v="CUST2328"/>
    <s v="Arun Kumar"/>
    <s v="Female"/>
    <n v="23"/>
    <x v="8"/>
    <s v="Tamil Nadu"/>
    <x v="4"/>
    <x v="2"/>
    <n v="1"/>
    <n v="125000"/>
    <n v="0"/>
    <n v="125000"/>
    <n v="17210.830000000002"/>
    <x v="6"/>
    <s v="Pending"/>
    <x v="2"/>
    <s v="Yes"/>
  </r>
  <r>
    <s v="RIDEZONE BIKE SHOWROOM"/>
    <x v="328"/>
    <x v="265"/>
    <s v="CUST2329"/>
    <s v="Priya S"/>
    <s v="Female"/>
    <n v="42"/>
    <x v="3"/>
    <s v="Tamil Nadu"/>
    <x v="4"/>
    <x v="0"/>
    <n v="1"/>
    <n v="125000"/>
    <n v="10"/>
    <n v="112500"/>
    <n v="12105.52"/>
    <x v="2"/>
    <s v="Returned"/>
    <x v="5"/>
    <s v="No"/>
  </r>
  <r>
    <s v="RIDEZONE BIKE SHOWROOM"/>
    <x v="329"/>
    <x v="266"/>
    <s v="CUST2330"/>
    <s v="Priya S"/>
    <s v="Male"/>
    <n v="37"/>
    <x v="6"/>
    <s v="Tamil Nadu"/>
    <x v="1"/>
    <x v="2"/>
    <n v="1"/>
    <n v="114000"/>
    <n v="7"/>
    <n v="106020"/>
    <n v="12343.95"/>
    <x v="2"/>
    <s v="Cancelled"/>
    <x v="1"/>
    <s v="No"/>
  </r>
  <r>
    <s v="RIDEZONE BIKE SHOWROOM"/>
    <x v="330"/>
    <x v="267"/>
    <s v="CUST2331"/>
    <s v="Suresh B"/>
    <s v="Female"/>
    <n v="43"/>
    <x v="0"/>
    <s v="Tamil Nadu"/>
    <x v="3"/>
    <x v="0"/>
    <n v="1"/>
    <n v="176000"/>
    <n v="5"/>
    <n v="167200"/>
    <n v="14425.15"/>
    <x v="4"/>
    <s v="Pending"/>
    <x v="5"/>
    <s v="No"/>
  </r>
  <r>
    <s v="RIDEZONE BIKE SHOWROOM"/>
    <x v="331"/>
    <x v="268"/>
    <s v="CUST2332"/>
    <s v="Karthik Raj"/>
    <s v="Male"/>
    <n v="26"/>
    <x v="5"/>
    <s v="Tamil Nadu"/>
    <x v="1"/>
    <x v="2"/>
    <n v="1"/>
    <n v="115000"/>
    <n v="5"/>
    <n v="109250"/>
    <n v="10705.53"/>
    <x v="1"/>
    <s v="Completed"/>
    <x v="0"/>
    <s v="Yes"/>
  </r>
  <r>
    <s v="RIDEZONE BIKE SHOWROOM"/>
    <x v="332"/>
    <x v="269"/>
    <s v="CUST2333"/>
    <s v="Divya M"/>
    <s v="Male"/>
    <n v="53"/>
    <x v="1"/>
    <s v="Tamil Nadu"/>
    <x v="3"/>
    <x v="3"/>
    <n v="1"/>
    <n v="176000"/>
    <n v="10"/>
    <n v="158400"/>
    <n v="3457.35"/>
    <x v="3"/>
    <s v="Completed"/>
    <x v="4"/>
    <s v="Yes"/>
  </r>
  <r>
    <s v="RIDEZONE BIKE SHOWROOM"/>
    <x v="333"/>
    <x v="270"/>
    <s v="CUST2334"/>
    <s v="Arun Kumar"/>
    <s v="Female"/>
    <n v="43"/>
    <x v="8"/>
    <s v="Tamil Nadu"/>
    <x v="3"/>
    <x v="0"/>
    <n v="1"/>
    <n v="177000"/>
    <n v="0"/>
    <n v="177000"/>
    <n v="31273.93"/>
    <x v="6"/>
    <s v="Cancelled"/>
    <x v="4"/>
    <s v="Yes"/>
  </r>
  <r>
    <s v="RIDEZONE BIKE SHOWROOM"/>
    <x v="334"/>
    <x v="44"/>
    <s v="CUST2335"/>
    <s v="Suresh B"/>
    <s v="Male"/>
    <n v="53"/>
    <x v="8"/>
    <s v="Tamil Nadu"/>
    <x v="1"/>
    <x v="1"/>
    <n v="1"/>
    <n v="114000"/>
    <n v="7"/>
    <n v="106020"/>
    <n v="11828.67"/>
    <x v="6"/>
    <s v="Cancelled"/>
    <x v="3"/>
    <s v="No"/>
  </r>
  <r>
    <s v="RIDEZONE BIKE SHOWROOM"/>
    <x v="335"/>
    <x v="271"/>
    <s v="CUST2336"/>
    <s v="Santhosh R"/>
    <s v="Female"/>
    <n v="30"/>
    <x v="8"/>
    <s v="Tamil Nadu"/>
    <x v="5"/>
    <x v="3"/>
    <n v="1"/>
    <n v="194000"/>
    <n v="7"/>
    <n v="180420"/>
    <n v="19751.75"/>
    <x v="6"/>
    <s v="Cancelled"/>
    <x v="2"/>
    <s v="No"/>
  </r>
  <r>
    <s v="RIDEZONE BIKE SHOWROOM"/>
    <x v="336"/>
    <x v="59"/>
    <s v="CUST2337"/>
    <s v="Santhosh R"/>
    <s v="Female"/>
    <n v="43"/>
    <x v="1"/>
    <s v="Tamil Nadu"/>
    <x v="4"/>
    <x v="1"/>
    <n v="1"/>
    <n v="124000"/>
    <n v="5"/>
    <n v="117800"/>
    <n v="9686.26"/>
    <x v="5"/>
    <s v="Completed"/>
    <x v="1"/>
    <s v="Yes"/>
  </r>
  <r>
    <s v="RIDEZONE BIKE SHOWROOM"/>
    <x v="337"/>
    <x v="272"/>
    <s v="CUST2338"/>
    <s v="Rahul K"/>
    <s v="Male"/>
    <n v="33"/>
    <x v="5"/>
    <s v="Tamil Nadu"/>
    <x v="1"/>
    <x v="3"/>
    <n v="3"/>
    <n v="115000"/>
    <n v="0"/>
    <n v="345000"/>
    <n v="63466.17"/>
    <x v="1"/>
    <s v="Completed"/>
    <x v="4"/>
    <s v="No"/>
  </r>
  <r>
    <s v="RIDEZONE BIKE SHOWROOM"/>
    <x v="338"/>
    <x v="210"/>
    <s v="CUST2339"/>
    <s v="Karthik Raj"/>
    <s v="Female"/>
    <n v="39"/>
    <x v="5"/>
    <s v="Tamil Nadu"/>
    <x v="4"/>
    <x v="2"/>
    <n v="1"/>
    <n v="125000"/>
    <n v="7"/>
    <n v="116250"/>
    <n v="15002.15"/>
    <x v="6"/>
    <s v="Cancelled"/>
    <x v="2"/>
    <s v="Yes"/>
  </r>
  <r>
    <s v="RIDEZONE BIKE SHOWROOM"/>
    <x v="339"/>
    <x v="273"/>
    <s v="CUST2340"/>
    <s v="Karthik Raj"/>
    <s v="Male"/>
    <n v="44"/>
    <x v="11"/>
    <s v="Tamil Nadu"/>
    <x v="3"/>
    <x v="3"/>
    <n v="1"/>
    <n v="175000"/>
    <n v="0"/>
    <n v="175000"/>
    <n v="23153.42"/>
    <x v="6"/>
    <s v="Returned"/>
    <x v="2"/>
    <s v="Yes"/>
  </r>
  <r>
    <s v="RIDEZONE BIKE SHOWROOM"/>
    <x v="340"/>
    <x v="274"/>
    <s v="CUST2341"/>
    <s v="Rahul K"/>
    <s v="Male"/>
    <n v="22"/>
    <x v="0"/>
    <s v="Tamil Nadu"/>
    <x v="8"/>
    <x v="3"/>
    <n v="1"/>
    <n v="127000"/>
    <n v="5"/>
    <n v="120650"/>
    <n v="20765.09"/>
    <x v="3"/>
    <s v="Pending"/>
    <x v="4"/>
    <s v="No"/>
  </r>
  <r>
    <s v="RIDEZONE BIKE SHOWROOM"/>
    <x v="341"/>
    <x v="184"/>
    <s v="CUST2342"/>
    <s v="Santhosh R"/>
    <s v="Male"/>
    <n v="25"/>
    <x v="11"/>
    <s v="Tamil Nadu"/>
    <x v="3"/>
    <x v="1"/>
    <n v="1"/>
    <n v="175000"/>
    <n v="5"/>
    <n v="166250"/>
    <n v="26641.74"/>
    <x v="5"/>
    <s v="Completed"/>
    <x v="2"/>
    <s v="No"/>
  </r>
  <r>
    <s v="RIDEZONE BIKE SHOWROOM"/>
    <x v="342"/>
    <x v="275"/>
    <s v="CUST2343"/>
    <s v="Suresh B"/>
    <s v="Male"/>
    <n v="32"/>
    <x v="5"/>
    <s v="Tamil Nadu"/>
    <x v="2"/>
    <x v="0"/>
    <n v="1"/>
    <n v="97000"/>
    <n v="5"/>
    <n v="92150"/>
    <n v="11888.49"/>
    <x v="5"/>
    <s v="Returned"/>
    <x v="1"/>
    <s v="Yes"/>
  </r>
  <r>
    <s v="RIDEZONE BIKE SHOWROOM"/>
    <x v="343"/>
    <x v="147"/>
    <s v="CUST2344"/>
    <s v="Divya M"/>
    <s v="Male"/>
    <n v="21"/>
    <x v="7"/>
    <s v="Tamil Nadu"/>
    <x v="0"/>
    <x v="3"/>
    <n v="1"/>
    <n v="95000"/>
    <n v="2"/>
    <n v="93100"/>
    <n v="15343.58"/>
    <x v="2"/>
    <s v="Pending"/>
    <x v="2"/>
    <s v="Yes"/>
  </r>
  <r>
    <s v="RIDEZONE BIKE SHOWROOM"/>
    <x v="344"/>
    <x v="276"/>
    <s v="CUST2345"/>
    <s v="Suresh B"/>
    <s v="Male"/>
    <n v="23"/>
    <x v="1"/>
    <s v="Tamil Nadu"/>
    <x v="8"/>
    <x v="3"/>
    <n v="1"/>
    <n v="124000"/>
    <n v="10"/>
    <n v="111600"/>
    <n v="2190.87"/>
    <x v="5"/>
    <s v="Cancelled"/>
    <x v="3"/>
    <s v="Yes"/>
  </r>
  <r>
    <s v="RIDEZONE BIKE SHOWROOM"/>
    <x v="345"/>
    <x v="162"/>
    <s v="CUST2346"/>
    <s v="Divya M"/>
    <s v="Female"/>
    <n v="33"/>
    <x v="6"/>
    <s v="Tamil Nadu"/>
    <x v="7"/>
    <x v="2"/>
    <n v="1"/>
    <n v="170000"/>
    <n v="2"/>
    <n v="166600"/>
    <n v="18903.740000000002"/>
    <x v="5"/>
    <s v="Returned"/>
    <x v="5"/>
    <s v="Yes"/>
  </r>
  <r>
    <s v="RIDEZONE BIKE SHOWROOM"/>
    <x v="346"/>
    <x v="277"/>
    <s v="CUST2347"/>
    <s v="Arun Kumar"/>
    <s v="Male"/>
    <n v="49"/>
    <x v="5"/>
    <s v="Tamil Nadu"/>
    <x v="7"/>
    <x v="1"/>
    <n v="1"/>
    <n v="169000"/>
    <n v="10"/>
    <n v="152100"/>
    <n v="7747.67"/>
    <x v="5"/>
    <s v="Cancelled"/>
    <x v="4"/>
    <s v="Yes"/>
  </r>
  <r>
    <s v="RIDEZONE BIKE SHOWROOM"/>
    <x v="347"/>
    <x v="67"/>
    <s v="CUST2348"/>
    <s v="Santhosh R"/>
    <s v="Male"/>
    <n v="40"/>
    <x v="7"/>
    <s v="Tamil Nadu"/>
    <x v="7"/>
    <x v="2"/>
    <n v="1"/>
    <n v="170000"/>
    <n v="7"/>
    <n v="158100"/>
    <n v="5577.12"/>
    <x v="3"/>
    <s v="Returned"/>
    <x v="5"/>
    <s v="Yes"/>
  </r>
  <r>
    <s v="RIDEZONE BIKE SHOWROOM"/>
    <x v="348"/>
    <x v="278"/>
    <s v="CUST2349"/>
    <s v="Rahul K"/>
    <s v="Female"/>
    <n v="21"/>
    <x v="1"/>
    <s v="Tamil Nadu"/>
    <x v="9"/>
    <x v="3"/>
    <n v="2"/>
    <n v="85000"/>
    <n v="3"/>
    <n v="164900"/>
    <n v="22305.37"/>
    <x v="5"/>
    <s v="Pending"/>
    <x v="5"/>
    <s v="No"/>
  </r>
  <r>
    <s v="RIDEZONE BIKE SHOWROOM"/>
    <x v="349"/>
    <x v="118"/>
    <s v="CUST2350"/>
    <s v="Rahul K"/>
    <s v="Female"/>
    <n v="29"/>
    <x v="2"/>
    <s v="Tamil Nadu"/>
    <x v="9"/>
    <x v="2"/>
    <n v="2"/>
    <n v="83000"/>
    <n v="7"/>
    <n v="154380"/>
    <n v="5993.6"/>
    <x v="6"/>
    <s v="Returned"/>
    <x v="5"/>
    <s v="Yes"/>
  </r>
  <r>
    <s v="RIDEZONE BIKE SHOWROOM"/>
    <x v="350"/>
    <x v="279"/>
    <s v="CUST2351"/>
    <s v="Priya S"/>
    <s v="Male"/>
    <n v="48"/>
    <x v="1"/>
    <s v="Tamil Nadu"/>
    <x v="5"/>
    <x v="2"/>
    <n v="1"/>
    <n v="195000"/>
    <n v="3"/>
    <n v="189150"/>
    <n v="15762.19"/>
    <x v="3"/>
    <s v="Pending"/>
    <x v="1"/>
    <s v="Yes"/>
  </r>
  <r>
    <s v="RIDEZONE BIKE SHOWROOM"/>
    <x v="351"/>
    <x v="76"/>
    <s v="CUST2352"/>
    <s v="Karthik Raj"/>
    <s v="Male"/>
    <n v="54"/>
    <x v="5"/>
    <s v="Tamil Nadu"/>
    <x v="5"/>
    <x v="3"/>
    <n v="1"/>
    <n v="196000"/>
    <n v="2"/>
    <n v="192080"/>
    <n v="31732.49"/>
    <x v="1"/>
    <s v="Completed"/>
    <x v="1"/>
    <s v="No"/>
  </r>
  <r>
    <s v="RIDEZONE BIKE SHOWROOM"/>
    <x v="352"/>
    <x v="261"/>
    <s v="CUST2353"/>
    <s v="Priya S"/>
    <s v="Male"/>
    <n v="26"/>
    <x v="2"/>
    <s v="Tamil Nadu"/>
    <x v="5"/>
    <x v="0"/>
    <n v="1"/>
    <n v="197000"/>
    <n v="10"/>
    <n v="177300"/>
    <n v="17167.46"/>
    <x v="5"/>
    <s v="Pending"/>
    <x v="5"/>
    <s v="Yes"/>
  </r>
  <r>
    <s v="RIDEZONE BIKE SHOWROOM"/>
    <x v="353"/>
    <x v="280"/>
    <s v="CUST2354"/>
    <s v="Rahul K"/>
    <s v="Male"/>
    <n v="50"/>
    <x v="0"/>
    <s v="Tamil Nadu"/>
    <x v="8"/>
    <x v="1"/>
    <n v="1"/>
    <n v="127000"/>
    <n v="5"/>
    <n v="120650"/>
    <n v="19546.52"/>
    <x v="2"/>
    <s v="Returned"/>
    <x v="0"/>
    <s v="Yes"/>
  </r>
  <r>
    <s v="RIDEZONE BIKE SHOWROOM"/>
    <x v="354"/>
    <x v="272"/>
    <s v="CUST2355"/>
    <s v="Suresh B"/>
    <s v="Male"/>
    <n v="32"/>
    <x v="1"/>
    <s v="Tamil Nadu"/>
    <x v="8"/>
    <x v="2"/>
    <n v="1"/>
    <n v="123000"/>
    <n v="3"/>
    <n v="119310"/>
    <n v="9345.08"/>
    <x v="2"/>
    <s v="Returned"/>
    <x v="3"/>
    <s v="No"/>
  </r>
  <r>
    <s v="RIDEZONE BIKE SHOWROOM"/>
    <x v="355"/>
    <x v="281"/>
    <s v="CUST2356"/>
    <s v="Vignesh P"/>
    <s v="Male"/>
    <n v="40"/>
    <x v="1"/>
    <s v="Tamil Nadu"/>
    <x v="3"/>
    <x v="0"/>
    <n v="1"/>
    <n v="173000"/>
    <n v="7"/>
    <n v="160890"/>
    <n v="10684.51"/>
    <x v="2"/>
    <s v="Returned"/>
    <x v="4"/>
    <s v="Yes"/>
  </r>
  <r>
    <s v="RIDEZONE BIKE SHOWROOM"/>
    <x v="356"/>
    <x v="282"/>
    <s v="CUST2357"/>
    <s v="Divya M"/>
    <s v="Female"/>
    <n v="32"/>
    <x v="7"/>
    <s v="Tamil Nadu"/>
    <x v="1"/>
    <x v="1"/>
    <n v="3"/>
    <n v="113000"/>
    <n v="7"/>
    <n v="315270"/>
    <n v="35090.660000000003"/>
    <x v="5"/>
    <s v="Cancelled"/>
    <x v="2"/>
    <s v="Yes"/>
  </r>
  <r>
    <s v="RIDEZONE BIKE SHOWROOM"/>
    <x v="357"/>
    <x v="50"/>
    <s v="CUST2358"/>
    <s v="Santhosh R"/>
    <s v="Male"/>
    <n v="75"/>
    <x v="2"/>
    <s v="Tamil Nadu"/>
    <x v="5"/>
    <x v="0"/>
    <n v="1"/>
    <n v="193000"/>
    <n v="10"/>
    <n v="173700"/>
    <n v="11186.98"/>
    <x v="1"/>
    <s v="Pending"/>
    <x v="2"/>
    <s v="No"/>
  </r>
  <r>
    <s v="RIDEZONE BIKE SHOWROOM"/>
    <x v="358"/>
    <x v="283"/>
    <s v="CUST2359"/>
    <s v="Karthik Raj"/>
    <s v="Female"/>
    <n v="49"/>
    <x v="6"/>
    <s v="Tamil Nadu"/>
    <x v="4"/>
    <x v="3"/>
    <n v="1"/>
    <n v="125000"/>
    <n v="7"/>
    <n v="116250"/>
    <n v="5300.74"/>
    <x v="1"/>
    <s v="Completed"/>
    <x v="4"/>
    <s v="Yes"/>
  </r>
  <r>
    <s v="RIDEZONE BIKE SHOWROOM"/>
    <x v="359"/>
    <x v="284"/>
    <s v="CUST2360"/>
    <s v="Vignesh P"/>
    <s v="Female"/>
    <n v="30"/>
    <x v="3"/>
    <s v="Tamil Nadu"/>
    <x v="3"/>
    <x v="0"/>
    <n v="1"/>
    <n v="177000"/>
    <n v="5"/>
    <n v="168150"/>
    <n v="14651.2"/>
    <x v="1"/>
    <s v="Cancelled"/>
    <x v="5"/>
    <s v="Yes"/>
  </r>
  <r>
    <s v="RIDEZONE BIKE SHOWROOM"/>
    <x v="360"/>
    <x v="89"/>
    <s v="CUST2361"/>
    <s v="Divya M"/>
    <s v="Male"/>
    <n v="48"/>
    <x v="5"/>
    <s v="Tamil Nadu"/>
    <x v="2"/>
    <x v="0"/>
    <n v="1"/>
    <n v="100000"/>
    <n v="0"/>
    <n v="100000"/>
    <n v="16965.02"/>
    <x v="1"/>
    <s v="Pending"/>
    <x v="4"/>
    <s v="No"/>
  </r>
  <r>
    <s v="RIDEZONE BIKE SHOWROOM"/>
    <x v="361"/>
    <x v="105"/>
    <s v="CUST2362"/>
    <s v="Suresh B"/>
    <s v="Female"/>
    <n v="35"/>
    <x v="6"/>
    <s v="Tamil Nadu"/>
    <x v="9"/>
    <x v="1"/>
    <n v="1"/>
    <n v="85000"/>
    <n v="7"/>
    <n v="79050"/>
    <n v="4513.96"/>
    <x v="4"/>
    <s v="Returned"/>
    <x v="4"/>
    <s v="Yes"/>
  </r>
  <r>
    <s v="RIDEZONE BIKE SHOWROOM"/>
    <x v="362"/>
    <x v="30"/>
    <s v="CUST2363"/>
    <s v=" Rahul K "/>
    <s v="Male"/>
    <n v="23"/>
    <x v="2"/>
    <s v="Tamil Nadu"/>
    <x v="8"/>
    <x v="2"/>
    <n v="1"/>
    <n v="126000"/>
    <n v="2"/>
    <n v="123480"/>
    <n v="24460.35"/>
    <x v="5"/>
    <s v="Cancelled"/>
    <x v="1"/>
    <s v="Yes"/>
  </r>
  <r>
    <s v="RIDEZONE BIKE SHOWROOM"/>
    <x v="363"/>
    <x v="143"/>
    <s v="CUST2364"/>
    <s v="Priya S"/>
    <s v="Female"/>
    <n v="55"/>
    <x v="8"/>
    <s v="Tamil Nadu"/>
    <x v="9"/>
    <x v="3"/>
    <n v="0"/>
    <n v="84000"/>
    <n v="2"/>
    <n v="82320"/>
    <n v="10025.33"/>
    <x v="5"/>
    <s v="Completed"/>
    <x v="1"/>
    <s v="No"/>
  </r>
  <r>
    <s v="RIDEZONE BIKE SHOWROOM"/>
    <x v="364"/>
    <x v="285"/>
    <s v="CUST2365"/>
    <s v="Karthik Raj"/>
    <s v="Female"/>
    <n v="28"/>
    <x v="7"/>
    <s v="Tamil Nadu"/>
    <x v="4"/>
    <x v="3"/>
    <n v="1"/>
    <n v="125000"/>
    <n v="7"/>
    <n v="116250"/>
    <n v="17776.11"/>
    <x v="4"/>
    <s v="Pending"/>
    <x v="3"/>
    <s v="Yes"/>
  </r>
  <r>
    <s v="RIDEZONE BIKE SHOWROOM"/>
    <x v="365"/>
    <x v="159"/>
    <s v="CUST2366"/>
    <s v="Divya M"/>
    <s v="Female"/>
    <n v="50"/>
    <x v="0"/>
    <s v="Tamil Nadu"/>
    <x v="6"/>
    <x v="3"/>
    <n v="1"/>
    <n v="237000"/>
    <n v="10"/>
    <n v="213300"/>
    <n v="13396.76"/>
    <x v="5"/>
    <s v="Cancelled"/>
    <x v="0"/>
    <s v="No"/>
  </r>
  <r>
    <s v="RIDEZONE BIKE SHOWROOM"/>
    <x v="366"/>
    <x v="286"/>
    <s v="CUST2367"/>
    <s v=" Arun Kumar "/>
    <s v="Male"/>
    <n v="75"/>
    <x v="6"/>
    <s v="Tamil Nadu"/>
    <x v="1"/>
    <x v="0"/>
    <n v="1"/>
    <n v="114000"/>
    <n v="7"/>
    <n v="106020"/>
    <n v="13916.37"/>
    <x v="2"/>
    <s v="Completed"/>
    <x v="3"/>
    <s v="Yes"/>
  </r>
  <r>
    <s v="RIDEZONE BIKE SHOWROOM"/>
    <x v="367"/>
    <x v="75"/>
    <s v="CUST2368"/>
    <s v="Suresh B"/>
    <s v="Female"/>
    <n v="20"/>
    <x v="7"/>
    <s v="Tamil Nadu"/>
    <x v="6"/>
    <x v="3"/>
    <n v="1"/>
    <n v="235000"/>
    <n v="3"/>
    <n v="227950"/>
    <n v="28846.28"/>
    <x v="6"/>
    <s v="Cancelled"/>
    <x v="1"/>
    <s v="No"/>
  </r>
  <r>
    <s v="RIDEZONE BIKE SHOWROOM"/>
    <x v="368"/>
    <x v="54"/>
    <s v="CUST2369"/>
    <s v="Suresh B"/>
    <s v="Female"/>
    <n v="31"/>
    <x v="8"/>
    <s v="Tamil Nadu"/>
    <x v="9"/>
    <x v="3"/>
    <n v="1"/>
    <n v="85000"/>
    <n v="5"/>
    <n v="80750"/>
    <n v="7061.15"/>
    <x v="2"/>
    <s v="Returned"/>
    <x v="4"/>
    <s v="Yes"/>
  </r>
  <r>
    <s v="RIDEZONE BIKE SHOWROOM"/>
    <x v="369"/>
    <x v="243"/>
    <s v="CUST2370"/>
    <s v="Divya M"/>
    <s v="Female"/>
    <n v="23"/>
    <x v="5"/>
    <s v="Tamil Nadu"/>
    <x v="3"/>
    <x v="0"/>
    <n v="1"/>
    <n v="176000"/>
    <n v="3"/>
    <n v="170720"/>
    <n v="23672.63"/>
    <x v="3"/>
    <s v="Cancelled"/>
    <x v="1"/>
    <s v="Yes"/>
  </r>
  <r>
    <s v="RIDEZONE BIKE SHOWROOM"/>
    <x v="370"/>
    <x v="35"/>
    <s v="CUST2371"/>
    <s v="Priya S"/>
    <s v="Male"/>
    <n v="44"/>
    <x v="2"/>
    <s v="Tamil Nadu"/>
    <x v="2"/>
    <x v="3"/>
    <n v="1"/>
    <n v="98000"/>
    <n v="5"/>
    <n v="93100"/>
    <n v="9292.23"/>
    <x v="6"/>
    <s v="Completed"/>
    <x v="1"/>
    <s v="No"/>
  </r>
  <r>
    <s v="RIDEZONE BIKE SHOWROOM"/>
    <x v="371"/>
    <x v="60"/>
    <s v="CUST2372"/>
    <s v="Divya M"/>
    <s v="Male"/>
    <n v="33"/>
    <x v="6"/>
    <s v="Tamil Nadu"/>
    <x v="0"/>
    <x v="0"/>
    <n v="2"/>
    <n v="95000"/>
    <n v="5"/>
    <n v="180500"/>
    <n v="13388.37"/>
    <x v="6"/>
    <s v="Completed"/>
    <x v="0"/>
    <s v="Yes"/>
  </r>
  <r>
    <s v="RIDEZONE BIKE SHOWROOM"/>
    <x v="372"/>
    <x v="287"/>
    <s v="CUST2373"/>
    <s v="Divya M"/>
    <s v="Female"/>
    <n v="53"/>
    <x v="0"/>
    <s v="Tamil Nadu"/>
    <x v="3"/>
    <x v="2"/>
    <n v="1"/>
    <n v="176000"/>
    <n v="2"/>
    <n v="172480"/>
    <n v="31182.73"/>
    <x v="6"/>
    <s v="Pending"/>
    <x v="0"/>
    <s v="Yes"/>
  </r>
  <r>
    <s v="RIDEZONE BIKE SHOWROOM"/>
    <x v="373"/>
    <x v="150"/>
    <s v="CUST2374"/>
    <s v="Rahul K"/>
    <s v="Female"/>
    <n v="25"/>
    <x v="7"/>
    <s v="Tamil Nadu"/>
    <x v="3"/>
    <x v="0"/>
    <n v="1"/>
    <n v="176000"/>
    <n v="0"/>
    <n v="176000"/>
    <n v="38633.199999999997"/>
    <x v="6"/>
    <s v="Cancelled"/>
    <x v="4"/>
    <s v="No"/>
  </r>
  <r>
    <s v="RIDEZONE BIKE SHOWROOM"/>
    <x v="374"/>
    <x v="116"/>
    <s v="CUST2375"/>
    <s v="Divya M"/>
    <s v="Male"/>
    <n v="27"/>
    <x v="3"/>
    <s v="Tamil Nadu"/>
    <x v="8"/>
    <x v="2"/>
    <n v="1"/>
    <n v="125000"/>
    <n v="3"/>
    <n v="121250"/>
    <n v="15765.86"/>
    <x v="5"/>
    <s v="Completed"/>
    <x v="4"/>
    <s v="Yes"/>
  </r>
  <r>
    <s v="RIDEZONE BIKE SHOWROOM"/>
    <x v="375"/>
    <x v="288"/>
    <s v="CUST2376"/>
    <s v="Priya S"/>
    <s v="Male"/>
    <n v="35"/>
    <x v="3"/>
    <s v="Tamil Nadu"/>
    <x v="8"/>
    <x v="3"/>
    <n v="1"/>
    <n v="125000"/>
    <n v="2"/>
    <n v="122500"/>
    <n v="10850.83"/>
    <x v="6"/>
    <s v="Returned"/>
    <x v="4"/>
    <s v="Yes"/>
  </r>
  <r>
    <s v="RIDEZONE BIKE SHOWROOM"/>
    <x v="376"/>
    <x v="289"/>
    <s v="CUST2377"/>
    <s v="Vignesh P"/>
    <s v="Male"/>
    <n v="47"/>
    <x v="6"/>
    <s v="Tamil Nadu"/>
    <x v="9"/>
    <x v="1"/>
    <n v="2"/>
    <n v="83000"/>
    <n v="0"/>
    <n v="166000"/>
    <n v="28878.7"/>
    <x v="6"/>
    <s v="Cancelled"/>
    <x v="1"/>
    <s v="Yes"/>
  </r>
  <r>
    <s v="RIDEZONE BIKE SHOWROOM"/>
    <x v="377"/>
    <x v="266"/>
    <s v="CUST2378"/>
    <s v="Santhosh R"/>
    <s v="Female"/>
    <n v="26"/>
    <x v="8"/>
    <s v="Tamil Nadu"/>
    <x v="1"/>
    <x v="1"/>
    <n v="2"/>
    <n v="115000"/>
    <n v="7"/>
    <n v="213900"/>
    <n v="30862.45"/>
    <x v="2"/>
    <s v="Pending"/>
    <x v="0"/>
    <s v="Yes"/>
  </r>
  <r>
    <s v="RIDEZONE BIKE SHOWROOM"/>
    <x v="378"/>
    <x v="290"/>
    <s v="CUST2379"/>
    <s v="Santhosh R"/>
    <s v="Female"/>
    <n v="40"/>
    <x v="2"/>
    <s v="Tamil Nadu"/>
    <x v="6"/>
    <x v="0"/>
    <n v="2"/>
    <n v="235000"/>
    <n v="2"/>
    <n v="460600"/>
    <n v="54541.74"/>
    <x v="6"/>
    <s v="Returned"/>
    <x v="4"/>
    <s v="No"/>
  </r>
  <r>
    <s v="RIDEZONE BIKE SHOWROOM"/>
    <x v="379"/>
    <x v="291"/>
    <s v="CUST2380"/>
    <s v="Karthik Raj"/>
    <s v="Female"/>
    <n v="52"/>
    <x v="6"/>
    <s v="Tamil Nadu"/>
    <x v="3"/>
    <x v="0"/>
    <n v="1"/>
    <n v="175000"/>
    <n v="3"/>
    <n v="169750"/>
    <n v="20556.759999999998"/>
    <x v="6"/>
    <s v="Completed"/>
    <x v="1"/>
    <s v="No"/>
  </r>
  <r>
    <s v="RIDEZONE BIKE SHOWROOM"/>
    <x v="380"/>
    <x v="292"/>
    <s v="CUST2381"/>
    <s v="Karthik Raj"/>
    <s v="Female"/>
    <n v="44"/>
    <x v="7"/>
    <s v="Tamil Nadu"/>
    <x v="5"/>
    <x v="2"/>
    <n v="1"/>
    <n v="194000"/>
    <n v="7"/>
    <n v="180420"/>
    <n v="25398.01"/>
    <x v="4"/>
    <s v="Returned"/>
    <x v="5"/>
    <s v="No"/>
  </r>
  <r>
    <s v="RIDEZONE BIKE SHOWROOM"/>
    <x v="381"/>
    <x v="178"/>
    <s v="CUST2382"/>
    <s v="Karthik Raj"/>
    <s v="Female"/>
    <n v="51"/>
    <x v="1"/>
    <s v="Tamil Nadu"/>
    <x v="1"/>
    <x v="3"/>
    <n v="1"/>
    <n v="117000"/>
    <n v="0"/>
    <n v="117000"/>
    <n v="15359.29"/>
    <x v="6"/>
    <s v="Returned"/>
    <x v="0"/>
    <s v="No"/>
  </r>
  <r>
    <s v="RIDEZONE BIKE SHOWROOM"/>
    <x v="382"/>
    <x v="293"/>
    <s v="CUST2383"/>
    <s v=" Santhosh R "/>
    <s v="Male"/>
    <n v="40"/>
    <x v="8"/>
    <s v="Tamil Nadu"/>
    <x v="5"/>
    <x v="0"/>
    <n v="1"/>
    <n v="197000"/>
    <n v="7"/>
    <n v="183210"/>
    <n v="11315.44"/>
    <x v="3"/>
    <s v="Pending"/>
    <x v="5"/>
    <s v="Yes"/>
  </r>
  <r>
    <s v="RIDEZONE BIKE SHOWROOM"/>
    <x v="383"/>
    <x v="244"/>
    <s v="CUST2384"/>
    <s v="Suresh B"/>
    <s v="Female"/>
    <n v="32"/>
    <x v="5"/>
    <s v="Tamil Nadu"/>
    <x v="11"/>
    <x v="3"/>
    <n v="1"/>
    <n v="98000"/>
    <n v="5"/>
    <n v="93100"/>
    <n v="9420.8700000000008"/>
    <x v="5"/>
    <s v="Returned"/>
    <x v="3"/>
    <s v="No"/>
  </r>
  <r>
    <s v="RIDEZONE BIKE SHOWROOM"/>
    <x v="384"/>
    <x v="185"/>
    <s v="CUST2385"/>
    <s v=" Rahul K "/>
    <s v="Male"/>
    <n v="23"/>
    <x v="0"/>
    <s v="Tamil Nadu"/>
    <x v="0"/>
    <x v="0"/>
    <n v="1"/>
    <n v="96000"/>
    <n v="5"/>
    <n v="91200"/>
    <n v="6555.22"/>
    <x v="6"/>
    <s v="Completed"/>
    <x v="1"/>
    <s v="Yes"/>
  </r>
  <r>
    <s v="RIDEZONE BIKE SHOWROOM"/>
    <x v="385"/>
    <x v="294"/>
    <s v="CUST2386"/>
    <s v="Vignesh P"/>
    <s v="Female"/>
    <n v="45"/>
    <x v="7"/>
    <s v="Tamil Nadu"/>
    <x v="8"/>
    <x v="2"/>
    <n v="1"/>
    <n v="125000"/>
    <n v="10"/>
    <n v="112500"/>
    <n v="10228.09"/>
    <x v="2"/>
    <s v="Returned"/>
    <x v="0"/>
    <s v="Yes"/>
  </r>
  <r>
    <s v="RIDEZONE BIKE SHOWROOM"/>
    <x v="386"/>
    <x v="295"/>
    <s v="CUST2387"/>
    <s v="Arun Kumar"/>
    <s v="Male"/>
    <n v="28"/>
    <x v="7"/>
    <s v="Tamil Nadu"/>
    <x v="1"/>
    <x v="0"/>
    <n v="1"/>
    <n v="115000"/>
    <n v="5"/>
    <n v="109250"/>
    <n v="17421.11"/>
    <x v="1"/>
    <s v="Returned"/>
    <x v="3"/>
    <s v="No"/>
  </r>
  <r>
    <s v="RIDEZONE BIKE SHOWROOM"/>
    <x v="387"/>
    <x v="296"/>
    <s v="CUST2388"/>
    <s v="Priya S"/>
    <s v="Female"/>
    <n v="47"/>
    <x v="8"/>
    <s v="Tamil Nadu"/>
    <x v="2"/>
    <x v="1"/>
    <n v="1"/>
    <n v="98000"/>
    <n v="5"/>
    <n v="93100"/>
    <n v="6151.47"/>
    <x v="2"/>
    <s v="Returned"/>
    <x v="1"/>
    <s v="Yes"/>
  </r>
  <r>
    <s v="RIDEZONE BIKE SHOWROOM"/>
    <x v="388"/>
    <x v="297"/>
    <s v="CUST2389"/>
    <s v="Divya M"/>
    <s v="Female"/>
    <n v="52"/>
    <x v="7"/>
    <s v="Tamil Nadu"/>
    <x v="2"/>
    <x v="3"/>
    <n v="1"/>
    <n v="99000"/>
    <n v="5"/>
    <n v="94050"/>
    <n v="6769.97"/>
    <x v="5"/>
    <s v="Completed"/>
    <x v="5"/>
    <s v="No"/>
  </r>
  <r>
    <s v="RIDEZONE BIKE SHOWROOM"/>
    <x v="389"/>
    <x v="298"/>
    <s v="CUST2390"/>
    <s v="Santhosh R"/>
    <s v="Male"/>
    <n v="37"/>
    <x v="8"/>
    <s v="Tamil Nadu"/>
    <x v="4"/>
    <x v="0"/>
    <n v="1"/>
    <n v="127000"/>
    <n v="0"/>
    <n v="127000"/>
    <n v="25774.59"/>
    <x v="3"/>
    <s v="Returned"/>
    <x v="3"/>
    <s v="Yes"/>
  </r>
  <r>
    <s v="RIDEZONE BIKE SHOWROOM"/>
    <x v="390"/>
    <x v="136"/>
    <s v="CUST2391"/>
    <s v="Santhosh R"/>
    <s v="Female"/>
    <n v="49"/>
    <x v="2"/>
    <s v="Tamil Nadu"/>
    <x v="1"/>
    <x v="1"/>
    <n v="1"/>
    <n v="115000"/>
    <n v="7"/>
    <n v="106950"/>
    <n v="6506.33"/>
    <x v="6"/>
    <s v="Cancelled"/>
    <x v="1"/>
    <s v="Yes"/>
  </r>
  <r>
    <s v="RIDEZONE BIKE SHOWROOM"/>
    <x v="391"/>
    <x v="257"/>
    <s v="CUST2392"/>
    <s v="Arun Kumar"/>
    <s v="Female"/>
    <n v="30"/>
    <x v="2"/>
    <s v="Tamil Nadu"/>
    <x v="9"/>
    <x v="0"/>
    <n v="1"/>
    <n v="86000"/>
    <n v="3"/>
    <n v="83420"/>
    <n v="15706.17"/>
    <x v="5"/>
    <s v="Returned"/>
    <x v="4"/>
    <s v="Yes"/>
  </r>
  <r>
    <s v="RIDEZONE BIKE SHOWROOM"/>
    <x v="392"/>
    <x v="181"/>
    <s v="CUST2393"/>
    <s v="Divya M"/>
    <s v="Male"/>
    <n v="37"/>
    <x v="8"/>
    <s v="Tamil Nadu"/>
    <x v="1"/>
    <x v="0"/>
    <n v="2"/>
    <n v="115000"/>
    <n v="3"/>
    <n v="223100"/>
    <n v="40041.93"/>
    <x v="1"/>
    <s v="Pending"/>
    <x v="3"/>
    <s v="No"/>
  </r>
  <r>
    <s v="RIDEZONE BIKE SHOWROOM"/>
    <x v="393"/>
    <x v="93"/>
    <s v="CUST2394"/>
    <s v="Rahul K"/>
    <s v="Male"/>
    <n v="22"/>
    <x v="5"/>
    <s v="Tamil Nadu"/>
    <x v="10"/>
    <x v="2"/>
    <n v="1"/>
    <n v="127000"/>
    <n v="2"/>
    <n v="124460"/>
    <n v="18009.84"/>
    <x v="1"/>
    <s v="Returned"/>
    <x v="2"/>
    <s v="No"/>
  </r>
  <r>
    <s v="RIDEZONE BIKE SHOWROOM"/>
    <x v="394"/>
    <x v="299"/>
    <s v="CUST2395"/>
    <s v="Divya M"/>
    <s v="Male"/>
    <n v="23"/>
    <x v="6"/>
    <s v="Tamil Nadu"/>
    <x v="8"/>
    <x v="0"/>
    <n v="1"/>
    <n v="124000"/>
    <n v="2"/>
    <n v="121520"/>
    <n v="16202.97"/>
    <x v="1"/>
    <s v="Returned"/>
    <x v="2"/>
    <s v="No"/>
  </r>
  <r>
    <s v="RIDEZONE BIKE SHOWROOM"/>
    <x v="395"/>
    <x v="300"/>
    <s v="CUST2396"/>
    <s v="Divya M"/>
    <s v="Male"/>
    <n v="50"/>
    <x v="6"/>
    <s v="Tamil Nadu"/>
    <x v="7"/>
    <x v="1"/>
    <n v="1"/>
    <n v="171000"/>
    <n v="0"/>
    <n v="167580"/>
    <n v="26406.49"/>
    <x v="5"/>
    <s v="Cancelled"/>
    <x v="2"/>
    <s v="No"/>
  </r>
  <r>
    <s v="RIDEZONE BIKE SHOWROOM"/>
    <x v="396"/>
    <x v="153"/>
    <s v="CUST2397"/>
    <s v="Rahul K"/>
    <s v="Female"/>
    <n v="37"/>
    <x v="0"/>
    <s v="Tamil Nadu"/>
    <x v="4"/>
    <x v="3"/>
    <n v="1"/>
    <n v="126000"/>
    <n v="10"/>
    <n v="113400"/>
    <n v="9770.1200000000008"/>
    <x v="6"/>
    <s v="Cancelled"/>
    <x v="3"/>
    <s v="No"/>
  </r>
  <r>
    <s v="RIDEZONE BIKE SHOWROOM"/>
    <x v="397"/>
    <x v="301"/>
    <s v="CUST2398"/>
    <s v="Arun Kumar"/>
    <s v="Male"/>
    <n v="40"/>
    <x v="1"/>
    <s v="Tamil Nadu"/>
    <x v="3"/>
    <x v="0"/>
    <n v="1"/>
    <n v="176000"/>
    <n v="2"/>
    <n v="172480"/>
    <n v="24218.61"/>
    <x v="5"/>
    <s v="Returned"/>
    <x v="4"/>
    <s v="Yes"/>
  </r>
  <r>
    <s v="RIDEZONE BIKE SHOWROOM"/>
    <x v="398"/>
    <x v="302"/>
    <s v="CUST2399"/>
    <s v="Arun Kumar"/>
    <s v="Male"/>
    <n v="25"/>
    <x v="3"/>
    <s v="Tamil Nadu"/>
    <x v="3"/>
    <x v="0"/>
    <n v="0"/>
    <n v="175000"/>
    <n v="3"/>
    <n v="169750"/>
    <n v="29195.33"/>
    <x v="6"/>
    <s v="Completed"/>
    <x v="5"/>
    <s v="Yes"/>
  </r>
  <r>
    <s v="RIDEZONE BIKE SHOWROOM"/>
    <x v="399"/>
    <x v="303"/>
    <s v="CUST2400"/>
    <s v="Santhosh R"/>
    <s v="Female"/>
    <n v="24"/>
    <x v="5"/>
    <s v="Tamil Nadu"/>
    <x v="5"/>
    <x v="1"/>
    <n v="2"/>
    <n v="197000"/>
    <n v="2"/>
    <n v="386120"/>
    <n v="66822.289999999994"/>
    <x v="6"/>
    <s v="Cancelled"/>
    <x v="0"/>
    <s v="Yes"/>
  </r>
  <r>
    <s v="RIDEZONE BIKE SHOWROOM"/>
    <x v="400"/>
    <x v="191"/>
    <s v="CUST2401"/>
    <s v="Santhosh R"/>
    <s v="Male"/>
    <n v="0"/>
    <x v="0"/>
    <s v="Tamil Nadu"/>
    <x v="7"/>
    <x v="1"/>
    <n v="1"/>
    <n v="170000"/>
    <n v="0"/>
    <n v="170000"/>
    <n v="32131.93"/>
    <x v="3"/>
    <s v="Returned"/>
    <x v="0"/>
    <s v="No"/>
  </r>
  <r>
    <s v="RIDEZONE BIKE SHOWROOM"/>
    <x v="401"/>
    <x v="209"/>
    <s v="CUST2402"/>
    <s v="Divya M"/>
    <s v="Male"/>
    <n v="48"/>
    <x v="5"/>
    <s v="Tamil Nadu"/>
    <x v="0"/>
    <x v="0"/>
    <n v="1"/>
    <n v="95000"/>
    <n v="2"/>
    <n v="93100"/>
    <n v="12000.78"/>
    <x v="6"/>
    <s v="Completed"/>
    <x v="5"/>
    <s v="No"/>
  </r>
  <r>
    <s v="RIDEZONE BIKE SHOWROOM"/>
    <x v="402"/>
    <x v="66"/>
    <s v="CUST2403"/>
    <s v="Divya M"/>
    <s v="Male"/>
    <n v="44"/>
    <x v="12"/>
    <s v="Tamil Nadu"/>
    <x v="3"/>
    <x v="3"/>
    <n v="2"/>
    <n v="174000"/>
    <n v="10"/>
    <n v="313200"/>
    <n v="15019.6"/>
    <x v="4"/>
    <s v="Completed"/>
    <x v="5"/>
    <s v="No"/>
  </r>
  <r>
    <s v="RIDEZONE BIKE SHOWROOM"/>
    <x v="403"/>
    <x v="304"/>
    <s v="CUST2404"/>
    <s v="Santhosh R"/>
    <s v="Male"/>
    <n v="44"/>
    <x v="7"/>
    <s v="Tamil Nadu"/>
    <x v="3"/>
    <x v="3"/>
    <n v="1"/>
    <n v="177000"/>
    <n v="0"/>
    <n v="177000"/>
    <n v="27467.67"/>
    <x v="8"/>
    <s v="Cancelled"/>
    <x v="2"/>
    <s v="Yes"/>
  </r>
  <r>
    <s v="RIDEZONE BIKE SHOWROOM"/>
    <x v="404"/>
    <x v="79"/>
    <s v="CUST2405"/>
    <s v="Priya S"/>
    <s v="Male"/>
    <n v="32"/>
    <x v="3"/>
    <s v="Tamil Nadu"/>
    <x v="0"/>
    <x v="1"/>
    <n v="1"/>
    <n v="95000"/>
    <n v="0"/>
    <n v="95000"/>
    <n v="11310.53"/>
    <x v="3"/>
    <s v="Cancelled"/>
    <x v="3"/>
    <s v="No"/>
  </r>
  <r>
    <s v="RIDEZONE BIKE SHOWROOM"/>
    <x v="405"/>
    <x v="305"/>
    <s v="CUST2406"/>
    <s v="Suresh B"/>
    <s v="Male"/>
    <n v="22"/>
    <x v="3"/>
    <s v="Tamil Nadu"/>
    <x v="0"/>
    <x v="2"/>
    <n v="1"/>
    <n v="97000"/>
    <n v="5"/>
    <n v="92150"/>
    <n v="7930.83"/>
    <x v="2"/>
    <s v="Returned"/>
    <x v="4"/>
    <s v="No"/>
  </r>
  <r>
    <s v="RIDEZONE BIKE SHOWROOM"/>
    <x v="406"/>
    <x v="271"/>
    <s v="CUST2407"/>
    <s v="Vignesh P"/>
    <s v="Male"/>
    <n v="22"/>
    <x v="6"/>
    <s v="Tamil Nadu"/>
    <x v="3"/>
    <x v="2"/>
    <n v="2"/>
    <n v="173000"/>
    <n v="0"/>
    <n v="346000"/>
    <n v="62032.88"/>
    <x v="2"/>
    <s v="Pending"/>
    <x v="3"/>
    <s v="Yes"/>
  </r>
  <r>
    <s v="RIDEZONE BIKE SHOWROOM"/>
    <x v="407"/>
    <x v="128"/>
    <s v="CUST2408"/>
    <s v="Priya S"/>
    <s v="Male"/>
    <n v="35"/>
    <x v="0"/>
    <s v="Tamil Nadu"/>
    <x v="0"/>
    <x v="2"/>
    <n v="1"/>
    <n v="95000"/>
    <n v="10"/>
    <n v="85500"/>
    <n v="11182.68"/>
    <x v="5"/>
    <s v="Cancelled"/>
    <x v="4"/>
    <s v="No"/>
  </r>
  <r>
    <s v="RIDEZONE BIKE SHOWROOM"/>
    <x v="408"/>
    <x v="143"/>
    <s v="CUST2409"/>
    <s v="Karthik Raj"/>
    <s v="Male"/>
    <n v="34"/>
    <x v="5"/>
    <s v="Tamil Nadu"/>
    <x v="6"/>
    <x v="1"/>
    <n v="1"/>
    <n v="233000"/>
    <n v="0"/>
    <n v="233000"/>
    <n v="48067.54"/>
    <x v="6"/>
    <s v="Returned"/>
    <x v="1"/>
    <s v="Yes"/>
  </r>
  <r>
    <s v="RIDEZONE BIKE SHOWROOM"/>
    <x v="409"/>
    <x v="122"/>
    <s v="CUST2410"/>
    <s v="Karthik Raj"/>
    <s v="Female"/>
    <n v="24"/>
    <x v="5"/>
    <s v="Tamil Nadu"/>
    <x v="6"/>
    <x v="2"/>
    <n v="1"/>
    <n v="234000"/>
    <n v="0"/>
    <n v="234000"/>
    <n v="34826.17"/>
    <x v="4"/>
    <s v="Pending"/>
    <x v="3"/>
    <s v="No"/>
  </r>
  <r>
    <s v="RIDEZONE BIKE SHOWROOM"/>
    <x v="410"/>
    <x v="306"/>
    <s v="CUST2411"/>
    <s v="Arun Kumar"/>
    <s v="Female"/>
    <n v="30"/>
    <x v="5"/>
    <s v="Tamil Nadu"/>
    <x v="1"/>
    <x v="0"/>
    <n v="1"/>
    <n v="116000"/>
    <n v="0"/>
    <n v="116000"/>
    <n v="23663.48"/>
    <x v="5"/>
    <s v="Completed"/>
    <x v="0"/>
    <s v="Yes"/>
  </r>
  <r>
    <s v="RIDEZONE BIKE SHOWROOM"/>
    <x v="411"/>
    <x v="307"/>
    <s v="CUST2412"/>
    <s v="Santhosh R"/>
    <s v="Female"/>
    <n v="37"/>
    <x v="2"/>
    <s v="Tamil Nadu"/>
    <x v="6"/>
    <x v="2"/>
    <n v="1"/>
    <n v="235000"/>
    <n v="10"/>
    <n v="211500"/>
    <n v="24621.63"/>
    <x v="1"/>
    <s v="Completed"/>
    <x v="5"/>
    <s v="Yes"/>
  </r>
  <r>
    <s v="RIDEZONE BIKE SHOWROOM"/>
    <x v="412"/>
    <x v="214"/>
    <s v="CUST2413"/>
    <s v="Suresh B"/>
    <s v="Male"/>
    <n v="35"/>
    <x v="11"/>
    <s v="Tamil Nadu"/>
    <x v="3"/>
    <x v="0"/>
    <n v="1"/>
    <n v="175000"/>
    <n v="3"/>
    <n v="169750"/>
    <n v="24455.5"/>
    <x v="6"/>
    <s v="Pending"/>
    <x v="2"/>
    <s v="Yes"/>
  </r>
  <r>
    <s v="RIDEZONE BIKE SHOWROOM"/>
    <x v="413"/>
    <x v="199"/>
    <s v="CUST2414"/>
    <s v="Priya S"/>
    <s v="Male"/>
    <n v="51"/>
    <x v="0"/>
    <s v="Tamil Nadu"/>
    <x v="7"/>
    <x v="0"/>
    <n v="1"/>
    <n v="169000"/>
    <n v="10"/>
    <n v="152100"/>
    <n v="3168.11"/>
    <x v="5"/>
    <s v="Cancelled"/>
    <x v="1"/>
    <s v="Yes"/>
  </r>
  <r>
    <s v="RIDEZONE BIKE SHOWROOM"/>
    <x v="414"/>
    <x v="77"/>
    <s v="CUST2415"/>
    <s v="Priya S"/>
    <s v="Male"/>
    <n v="0"/>
    <x v="2"/>
    <s v="Tamil Nadu"/>
    <x v="5"/>
    <x v="0"/>
    <n v="1"/>
    <n v="195000"/>
    <n v="0"/>
    <n v="195000"/>
    <n v="40456.550000000003"/>
    <x v="2"/>
    <s v="Completed"/>
    <x v="4"/>
    <s v="Yes"/>
  </r>
  <r>
    <s v="RIDEZONE BIKE SHOWROOM"/>
    <x v="415"/>
    <x v="11"/>
    <s v="CUST2416"/>
    <s v="Rahul K"/>
    <s v="Male"/>
    <n v="27"/>
    <x v="3"/>
    <s v="Tamil Nadu"/>
    <x v="3"/>
    <x v="0"/>
    <n v="1"/>
    <n v="177000"/>
    <n v="10"/>
    <n v="159300"/>
    <n v="2158.56"/>
    <x v="3"/>
    <s v="Returned"/>
    <x v="0"/>
    <s v="No"/>
  </r>
  <r>
    <s v="RIDEZONE BIKE SHOWROOM"/>
    <x v="416"/>
    <x v="308"/>
    <s v="CUST2417"/>
    <s v="Santhosh R"/>
    <s v="Male"/>
    <n v="33"/>
    <x v="8"/>
    <s v="Tamil Nadu"/>
    <x v="8"/>
    <x v="1"/>
    <n v="1"/>
    <n v="125000"/>
    <n v="0"/>
    <n v="125000"/>
    <n v="14142.67"/>
    <x v="6"/>
    <s v="Pending"/>
    <x v="2"/>
    <s v="Yes"/>
  </r>
  <r>
    <s v="RIDEZONE BIKE SHOWROOM"/>
    <x v="417"/>
    <x v="309"/>
    <s v="CUST2418"/>
    <s v="Priya S"/>
    <s v="Male"/>
    <n v="37"/>
    <x v="2"/>
    <s v="Tamil Nadu"/>
    <x v="4"/>
    <x v="1"/>
    <n v="1"/>
    <n v="124000"/>
    <n v="0"/>
    <n v="124000"/>
    <n v="16979.91"/>
    <x v="2"/>
    <s v="Returned"/>
    <x v="0"/>
    <s v="No"/>
  </r>
  <r>
    <s v="RIDEZONE BIKE SHOWROOM"/>
    <x v="418"/>
    <x v="188"/>
    <s v="CUST2419"/>
    <s v="Suresh B"/>
    <s v="Male"/>
    <n v="55"/>
    <x v="2"/>
    <s v="Tamil Nadu"/>
    <x v="8"/>
    <x v="1"/>
    <n v="1"/>
    <n v="127000"/>
    <n v="7"/>
    <n v="118110"/>
    <n v="5248.99"/>
    <x v="2"/>
    <s v="Pending"/>
    <x v="5"/>
    <s v="No"/>
  </r>
  <r>
    <s v="RIDEZONE BIKE SHOWROOM"/>
    <x v="419"/>
    <x v="310"/>
    <s v="CUST2420"/>
    <s v="Vignesh P"/>
    <s v="Male"/>
    <n v="40"/>
    <x v="2"/>
    <s v="Tamil Nadu"/>
    <x v="3"/>
    <x v="2"/>
    <n v="1"/>
    <n v="175000"/>
    <n v="10"/>
    <n v="157500"/>
    <n v="2675.43"/>
    <x v="5"/>
    <s v="Returned"/>
    <x v="4"/>
    <s v="Yes"/>
  </r>
  <r>
    <s v="RIDEZONE BIKE SHOWROOM"/>
    <x v="420"/>
    <x v="13"/>
    <s v="CUST2421"/>
    <s v=" Santhosh R "/>
    <s v="Male"/>
    <n v="48"/>
    <x v="0"/>
    <s v="Tamil Nadu"/>
    <x v="3"/>
    <x v="0"/>
    <n v="1"/>
    <n v="175000"/>
    <n v="5"/>
    <n v="166250"/>
    <n v="12745.95"/>
    <x v="5"/>
    <s v="Returned"/>
    <x v="0"/>
    <s v="Yes"/>
  </r>
  <r>
    <s v="RIDEZONE BIKE SHOWROOM"/>
    <x v="421"/>
    <x v="311"/>
    <s v="CUST2422"/>
    <s v="Santhosh R"/>
    <s v="Male"/>
    <n v="30"/>
    <x v="2"/>
    <s v="Tamil Nadu"/>
    <x v="4"/>
    <x v="1"/>
    <n v="1"/>
    <n v="123000"/>
    <n v="0"/>
    <n v="123000"/>
    <n v="19978.400000000001"/>
    <x v="2"/>
    <s v="Pending"/>
    <x v="3"/>
    <s v="No"/>
  </r>
  <r>
    <s v="RIDEZONE BIKE SHOWROOM"/>
    <x v="422"/>
    <x v="312"/>
    <s v="CUST2423"/>
    <s v="Rahul K"/>
    <s v="Male"/>
    <n v="44"/>
    <x v="3"/>
    <s v="Tamil Nadu"/>
    <x v="2"/>
    <x v="3"/>
    <n v="1"/>
    <n v="100000"/>
    <n v="10"/>
    <n v="90000"/>
    <n v="11983.64"/>
    <x v="4"/>
    <s v="Cancelled"/>
    <x v="3"/>
    <s v="Yes"/>
  </r>
  <r>
    <s v="RIDEZONE BIKE SHOWROOM"/>
    <x v="423"/>
    <x v="313"/>
    <s v="CUST2424"/>
    <s v="Karthik Raj"/>
    <s v="Female"/>
    <n v="23"/>
    <x v="3"/>
    <s v="Tamil Nadu"/>
    <x v="0"/>
    <x v="3"/>
    <n v="1"/>
    <n v="93000"/>
    <n v="7"/>
    <n v="86490"/>
    <n v="3400.2"/>
    <x v="2"/>
    <s v="Completed"/>
    <x v="1"/>
    <s v="No"/>
  </r>
  <r>
    <s v="RIDEZONE BIKE SHOWROOM"/>
    <x v="424"/>
    <x v="314"/>
    <s v="CUST2425"/>
    <s v="Karthik Raj"/>
    <s v="Female"/>
    <n v="54"/>
    <x v="8"/>
    <s v="Tamil Nadu"/>
    <x v="2"/>
    <x v="2"/>
    <n v="1"/>
    <n v="97000"/>
    <n v="2"/>
    <n v="95060"/>
    <n v="7978.23"/>
    <x v="3"/>
    <s v="Cancelled"/>
    <x v="1"/>
    <s v="No"/>
  </r>
  <r>
    <s v="RIDEZONE BIKE SHOWROOM"/>
    <x v="425"/>
    <x v="315"/>
    <s v="CUST2426"/>
    <s v="Karthik Raj"/>
    <s v="Female"/>
    <n v="52"/>
    <x v="7"/>
    <s v="Tamil Nadu"/>
    <x v="1"/>
    <x v="3"/>
    <n v="1"/>
    <n v="113000"/>
    <n v="3"/>
    <n v="109610"/>
    <n v="16788.73"/>
    <x v="2"/>
    <s v="Cancelled"/>
    <x v="3"/>
    <s v="Yes"/>
  </r>
  <r>
    <s v="RIDEZONE BIKE SHOWROOM"/>
    <x v="426"/>
    <x v="233"/>
    <s v="CUST2427"/>
    <s v="Priya S"/>
    <s v="Female"/>
    <n v="26"/>
    <x v="6"/>
    <s v="Tamil Nadu"/>
    <x v="8"/>
    <x v="0"/>
    <n v="1"/>
    <n v="125000"/>
    <n v="0"/>
    <n v="122500"/>
    <n v="20674.41"/>
    <x v="1"/>
    <s v="Returned"/>
    <x v="0"/>
    <s v="Yes"/>
  </r>
  <r>
    <s v="RIDEZONE BIKE SHOWROOM"/>
    <x v="427"/>
    <x v="199"/>
    <s v="CUST2428"/>
    <s v="Vignesh P"/>
    <s v="Female"/>
    <n v="42"/>
    <x v="0"/>
    <s v="Tamil Nadu"/>
    <x v="1"/>
    <x v="0"/>
    <n v="1"/>
    <n v="117000"/>
    <n v="7"/>
    <n v="108810"/>
    <n v="4468.63"/>
    <x v="5"/>
    <s v="Pending"/>
    <x v="4"/>
    <s v="Yes"/>
  </r>
  <r>
    <s v="RIDEZONE BIKE SHOWROOM"/>
    <x v="428"/>
    <x v="316"/>
    <s v="CUST2429"/>
    <s v="Santhosh R"/>
    <s v="Female"/>
    <n v="51"/>
    <x v="3"/>
    <s v="Tamil Nadu"/>
    <x v="8"/>
    <x v="3"/>
    <n v="1"/>
    <n v="125000"/>
    <n v="10"/>
    <n v="112500"/>
    <n v="5309.23"/>
    <x v="1"/>
    <s v="Cancelled"/>
    <x v="0"/>
    <s v="No"/>
  </r>
  <r>
    <s v="RIDEZONE BIKE SHOWROOM"/>
    <x v="429"/>
    <x v="317"/>
    <s v="CUST2430"/>
    <s v="Priya S"/>
    <s v="Male"/>
    <n v="49"/>
    <x v="6"/>
    <s v="Tamil Nadu"/>
    <x v="8"/>
    <x v="3"/>
    <n v="1"/>
    <n v="125000"/>
    <n v="0"/>
    <n v="125000"/>
    <n v="25274.92"/>
    <x v="1"/>
    <s v="Pending"/>
    <x v="3"/>
    <s v="Yes"/>
  </r>
  <r>
    <s v="RIDEZONE BIKE SHOWROOM"/>
    <x v="430"/>
    <x v="318"/>
    <s v="CUST2431"/>
    <s v=" Priya S "/>
    <s v="Male"/>
    <n v="43"/>
    <x v="1"/>
    <s v="Tamil Nadu"/>
    <x v="10"/>
    <x v="0"/>
    <n v="1"/>
    <n v="98000"/>
    <n v="7"/>
    <n v="91140"/>
    <n v="13212.67"/>
    <x v="6"/>
    <s v="Cancelled"/>
    <x v="0"/>
    <s v="No"/>
  </r>
  <r>
    <s v="RIDEZONE BIKE SHOWROOM"/>
    <x v="431"/>
    <x v="319"/>
    <s v="CUST2432"/>
    <s v=" Santhosh R "/>
    <s v="Female"/>
    <n v="29"/>
    <x v="5"/>
    <s v="Tamil Nadu"/>
    <x v="3"/>
    <x v="2"/>
    <n v="1"/>
    <n v="173000"/>
    <n v="0"/>
    <n v="173000"/>
    <n v="29661.29"/>
    <x v="5"/>
    <s v="Cancelled"/>
    <x v="3"/>
    <s v="No"/>
  </r>
  <r>
    <s v="RIDEZONE BIKE SHOWROOM"/>
    <x v="432"/>
    <x v="69"/>
    <s v="CUST2433"/>
    <s v="Rahul K"/>
    <s v="Male"/>
    <n v="48"/>
    <x v="2"/>
    <s v="Tamil Nadu"/>
    <x v="3"/>
    <x v="1"/>
    <n v="2"/>
    <n v="176000"/>
    <n v="10"/>
    <n v="316800"/>
    <n v="36027.19"/>
    <x v="5"/>
    <s v="Pending"/>
    <x v="3"/>
    <s v="Yes"/>
  </r>
  <r>
    <s v="RIDEZONE BIKE SHOWROOM"/>
    <x v="433"/>
    <x v="316"/>
    <s v="CUST2434"/>
    <s v="Suresh B"/>
    <s v="Male"/>
    <n v="23"/>
    <x v="0"/>
    <s v="Tamil Nadu"/>
    <x v="7"/>
    <x v="3"/>
    <n v="1"/>
    <n v="169000"/>
    <n v="5"/>
    <n v="160550"/>
    <n v="21482.06"/>
    <x v="3"/>
    <s v="Completed"/>
    <x v="4"/>
    <s v="No"/>
  </r>
  <r>
    <s v="RIDEZONE BIKE SHOWROOM"/>
    <x v="434"/>
    <x v="320"/>
    <s v="CUST2435"/>
    <s v="Vignesh P"/>
    <s v="Male"/>
    <n v="43"/>
    <x v="7"/>
    <s v="Tamil Nadu"/>
    <x v="0"/>
    <x v="1"/>
    <n v="1"/>
    <n v="95000"/>
    <n v="7"/>
    <n v="88350"/>
    <n v="7352.11"/>
    <x v="6"/>
    <s v="Returned"/>
    <x v="1"/>
    <s v="Yes"/>
  </r>
  <r>
    <s v="RIDEZONE BIKE SHOWROOM"/>
    <x v="435"/>
    <x v="321"/>
    <s v="CUST2436"/>
    <s v="Santhosh R"/>
    <s v="Female"/>
    <n v="46"/>
    <x v="3"/>
    <s v="Tamil Nadu"/>
    <x v="7"/>
    <x v="2"/>
    <n v="1"/>
    <n v="170000"/>
    <n v="0"/>
    <n v="158100"/>
    <n v="23712.99"/>
    <x v="4"/>
    <s v="Returned"/>
    <x v="0"/>
    <s v="Yes"/>
  </r>
  <r>
    <s v="RIDEZONE BIKE SHOWROOM"/>
    <x v="436"/>
    <x v="322"/>
    <s v="CUST2437"/>
    <s v="Karthik Raj"/>
    <s v="Male"/>
    <n v="44"/>
    <x v="1"/>
    <s v="Tamil Nadu"/>
    <x v="2"/>
    <x v="1"/>
    <n v="1"/>
    <n v="99000"/>
    <n v="3"/>
    <n v="96030"/>
    <n v="18024.54"/>
    <x v="5"/>
    <s v="Returned"/>
    <x v="0"/>
    <s v="No"/>
  </r>
  <r>
    <s v="RIDEZONE BIKE SHOWROOM"/>
    <x v="437"/>
    <x v="80"/>
    <s v="CUST2438"/>
    <s v=" Divya M "/>
    <s v="Female"/>
    <n v="39"/>
    <x v="5"/>
    <s v="Tamil Nadu"/>
    <x v="6"/>
    <x v="1"/>
    <n v="1"/>
    <n v="235000"/>
    <n v="3"/>
    <n v="227950"/>
    <n v="29030.95"/>
    <x v="3"/>
    <s v="Completed"/>
    <x v="4"/>
    <s v="Yes"/>
  </r>
  <r>
    <s v="RIDEZONE BIKE SHOWROOM"/>
    <x v="438"/>
    <x v="57"/>
    <s v="CUST2439"/>
    <s v="Priya S"/>
    <s v="Female"/>
    <n v="46"/>
    <x v="2"/>
    <s v="Tamil Nadu"/>
    <x v="7"/>
    <x v="2"/>
    <n v="2"/>
    <n v="172000"/>
    <n v="5"/>
    <n v="326800"/>
    <n v="53353.98"/>
    <x v="5"/>
    <s v="Completed"/>
    <x v="1"/>
    <s v="No"/>
  </r>
  <r>
    <s v="RIDEZONE BIKE SHOWROOM"/>
    <x v="439"/>
    <x v="323"/>
    <s v="CUST2440"/>
    <s v="Rahul K"/>
    <s v="Male"/>
    <n v="27"/>
    <x v="3"/>
    <s v="Tamil Nadu"/>
    <x v="0"/>
    <x v="3"/>
    <n v="1"/>
    <n v="96000"/>
    <n v="5"/>
    <n v="91200"/>
    <n v="6316.66"/>
    <x v="1"/>
    <s v="Completed"/>
    <x v="0"/>
    <s v="No"/>
  </r>
  <r>
    <s v="RIDEZONE BIKE SHOWROOM"/>
    <x v="440"/>
    <x v="324"/>
    <s v="CUST2441"/>
    <s v="Divya M"/>
    <s v="Female"/>
    <n v="23"/>
    <x v="5"/>
    <s v="Tamil Nadu"/>
    <x v="3"/>
    <x v="0"/>
    <n v="1"/>
    <n v="173000"/>
    <n v="3"/>
    <n v="167810"/>
    <n v="25372.25"/>
    <x v="3"/>
    <s v="Pending"/>
    <x v="4"/>
    <s v="Yes"/>
  </r>
  <r>
    <s v="RIDEZONE BIKE SHOWROOM"/>
    <x v="441"/>
    <x v="113"/>
    <s v="CUST2442"/>
    <s v="Rahul K"/>
    <s v="Male"/>
    <n v="26"/>
    <x v="3"/>
    <s v="Tamil Nadu"/>
    <x v="1"/>
    <x v="0"/>
    <n v="2"/>
    <n v="117000"/>
    <n v="3"/>
    <n v="226980"/>
    <n v="36837.43"/>
    <x v="1"/>
    <s v="Cancelled"/>
    <x v="1"/>
    <s v="No"/>
  </r>
  <r>
    <s v="RIDEZONE BIKE SHOWROOM"/>
    <x v="442"/>
    <x v="325"/>
    <s v="CUST2443"/>
    <s v="Suresh B"/>
    <s v="Male"/>
    <n v="34"/>
    <x v="3"/>
    <s v="Tamil Nadu"/>
    <x v="4"/>
    <x v="1"/>
    <n v="2"/>
    <n v="194000"/>
    <n v="0"/>
    <n v="388000"/>
    <n v="75215.679999999993"/>
    <x v="2"/>
    <s v="Completed"/>
    <x v="4"/>
    <s v="Yes"/>
  </r>
  <r>
    <s v="RIDEZONE BIKE SHOWROOM"/>
    <x v="443"/>
    <x v="21"/>
    <s v="CUST2444"/>
    <s v="Rahul K"/>
    <s v="Male"/>
    <n v="53"/>
    <x v="6"/>
    <s v="Tamil Nadu"/>
    <x v="9"/>
    <x v="3"/>
    <n v="1"/>
    <n v="87000"/>
    <n v="3"/>
    <n v="84390"/>
    <n v="15078.69"/>
    <x v="5"/>
    <s v="Completed"/>
    <x v="0"/>
    <s v="Yes"/>
  </r>
  <r>
    <s v="RIDEZONE BIKE SHOWROOM"/>
    <x v="444"/>
    <x v="326"/>
    <s v="CUST2445"/>
    <s v="Karthik Raj"/>
    <s v="Male"/>
    <n v="27"/>
    <x v="1"/>
    <s v="Tamil Nadu"/>
    <x v="2"/>
    <x v="1"/>
    <n v="1"/>
    <n v="97000"/>
    <n v="2"/>
    <n v="95060"/>
    <n v="7979.88"/>
    <x v="4"/>
    <s v=" completed "/>
    <x v="0"/>
    <s v="Yes"/>
  </r>
  <r>
    <s v="RIDEZONE BIKE SHOWROOM"/>
    <x v="445"/>
    <x v="245"/>
    <s v="CUST2446"/>
    <s v="Karthik Raj"/>
    <s v="Male"/>
    <n v="26"/>
    <x v="0"/>
    <s v="Tamil Nadu"/>
    <x v="9"/>
    <x v="2"/>
    <n v="1"/>
    <n v="85000"/>
    <n v="0"/>
    <n v="85000"/>
    <n v="18024.28"/>
    <x v="1"/>
    <s v="Cancelled"/>
    <x v="4"/>
    <s v="Yes"/>
  </r>
  <r>
    <s v="RIDEZONE BIKE SHOWROOM"/>
    <x v="446"/>
    <x v="8"/>
    <s v="CUST2447"/>
    <s v="Karthik Raj"/>
    <s v="Male"/>
    <n v="35"/>
    <x v="2"/>
    <s v="Tamil Nadu"/>
    <x v="2"/>
    <x v="0"/>
    <n v="2"/>
    <n v="98000"/>
    <n v="3"/>
    <n v="190120"/>
    <n v="33463.69"/>
    <x v="3"/>
    <s v="Pending"/>
    <x v="1"/>
    <s v="Yes"/>
  </r>
  <r>
    <s v="RIDEZONE BIKE SHOWROOM"/>
    <x v="447"/>
    <x v="193"/>
    <s v="CUST2448"/>
    <s v=" Priya S "/>
    <s v="Female"/>
    <n v="43"/>
    <x v="0"/>
    <s v="Tamil Nadu"/>
    <x v="1"/>
    <x v="0"/>
    <n v="2"/>
    <n v="113000"/>
    <n v="2"/>
    <n v="221480"/>
    <n v="20236.66"/>
    <x v="1"/>
    <s v="Cancelled"/>
    <x v="2"/>
    <s v="No"/>
  </r>
  <r>
    <s v="RIDEZONE BIKE SHOWROOM"/>
    <x v="448"/>
    <x v="327"/>
    <s v="CUST2449"/>
    <s v="Santhosh R"/>
    <s v="Female"/>
    <n v="28"/>
    <x v="1"/>
    <s v="Tamil Nadu"/>
    <x v="8"/>
    <x v="3"/>
    <n v="1"/>
    <n v="125000"/>
    <n v="0"/>
    <n v="125000"/>
    <n v="20511.47"/>
    <x v="5"/>
    <s v="Completed"/>
    <x v="1"/>
    <s v="No"/>
  </r>
  <r>
    <s v="RIDEZONE BIKE SHOWROOM"/>
    <x v="449"/>
    <x v="321"/>
    <s v="CUST2450"/>
    <s v="Vignesh P"/>
    <s v="Female"/>
    <n v="0"/>
    <x v="7"/>
    <s v="Tamil Nadu"/>
    <x v="0"/>
    <x v="1"/>
    <n v="1"/>
    <n v="96000"/>
    <n v="10"/>
    <n v="86400"/>
    <n v="7925.68"/>
    <x v="3"/>
    <s v="Completed"/>
    <x v="2"/>
    <s v="No"/>
  </r>
  <r>
    <s v="RIDEZONE BIKE SHOWROOM"/>
    <x v="450"/>
    <x v="19"/>
    <s v="CUST2451"/>
    <s v="Karthik Raj"/>
    <s v="Male"/>
    <n v="53"/>
    <x v="0"/>
    <s v="Tamil Nadu"/>
    <x v="2"/>
    <x v="2"/>
    <n v="3"/>
    <n v="98000"/>
    <n v="10"/>
    <n v="264600"/>
    <n v="31569.54"/>
    <x v="4"/>
    <s v="Returned"/>
    <x v="3"/>
    <s v="Yes"/>
  </r>
  <r>
    <s v="RIDEZONE BIKE SHOWROOM"/>
    <x v="451"/>
    <x v="206"/>
    <s v="CUST2452"/>
    <s v="Suresh B"/>
    <s v="Female"/>
    <n v="27"/>
    <x v="8"/>
    <s v="Tamil Nadu"/>
    <x v="2"/>
    <x v="1"/>
    <n v="1"/>
    <n v="97000"/>
    <n v="3"/>
    <n v="94090"/>
    <n v="16098.93"/>
    <x v="5"/>
    <s v="Cancelled"/>
    <x v="3"/>
    <s v="No"/>
  </r>
  <r>
    <s v="RIDEZONE BIKE SHOWROOM"/>
    <x v="452"/>
    <x v="238"/>
    <s v="CUST2453"/>
    <s v=" Karthik Raj "/>
    <s v="Male"/>
    <n v="49"/>
    <x v="6"/>
    <s v="Tamil Nadu"/>
    <x v="11"/>
    <x v="3"/>
    <n v="1"/>
    <n v="125000"/>
    <n v="5"/>
    <n v="118750"/>
    <n v="13578.78"/>
    <x v="2"/>
    <s v="Returned"/>
    <x v="0"/>
    <s v="Yes"/>
  </r>
  <r>
    <s v="RIDEZONE BIKE SHOWROOM"/>
    <x v="453"/>
    <x v="328"/>
    <s v="CUST2454"/>
    <s v="Rahul K"/>
    <s v="Male"/>
    <n v="44"/>
    <x v="8"/>
    <s v="Tamil Nadu"/>
    <x v="9"/>
    <x v="3"/>
    <n v="1"/>
    <n v="83000"/>
    <n v="5"/>
    <n v="78850"/>
    <n v="7356.05"/>
    <x v="6"/>
    <s v="Completed"/>
    <x v="3"/>
    <s v="No"/>
  </r>
  <r>
    <s v="RIDEZONE BIKE SHOWROOM"/>
    <x v="454"/>
    <x v="329"/>
    <s v="CUST2455"/>
    <s v="Arun Kumar"/>
    <s v="Male"/>
    <n v="0"/>
    <x v="1"/>
    <s v="Tamil Nadu"/>
    <x v="3"/>
    <x v="1"/>
    <n v="1"/>
    <n v="175000"/>
    <n v="5"/>
    <n v="166250"/>
    <n v="19149.310000000001"/>
    <x v="6"/>
    <s v="Returned"/>
    <x v="2"/>
    <s v="No"/>
  </r>
  <r>
    <s v="RIDEZONE BIKE SHOWROOM"/>
    <x v="455"/>
    <x v="330"/>
    <s v="CUST2456"/>
    <s v="Santhosh R"/>
    <s v="Female"/>
    <n v="30"/>
    <x v="6"/>
    <s v="Tamil Nadu"/>
    <x v="5"/>
    <x v="2"/>
    <n v="0"/>
    <n v="193000"/>
    <n v="2"/>
    <n v="189140"/>
    <n v="25707.599999999999"/>
    <x v="5"/>
    <s v="Returned"/>
    <x v="2"/>
    <s v="Yes"/>
  </r>
  <r>
    <s v="RIDEZONE BIKE SHOWROOM"/>
    <x v="456"/>
    <x v="323"/>
    <s v="CUST2457"/>
    <s v="Priya S"/>
    <s v="Male"/>
    <n v="55"/>
    <x v="6"/>
    <s v="Tamil Nadu"/>
    <x v="6"/>
    <x v="1"/>
    <n v="1"/>
    <n v="237000"/>
    <n v="7"/>
    <n v="220410"/>
    <n v="19276.34"/>
    <x v="5"/>
    <s v="Returned"/>
    <x v="5"/>
    <s v="No"/>
  </r>
  <r>
    <s v="RIDEZONE BIKE SHOWROOM"/>
    <x v="457"/>
    <x v="322"/>
    <s v="CUST2458"/>
    <s v="Priya S"/>
    <s v="Female"/>
    <n v="22"/>
    <x v="3"/>
    <s v="Tamil Nadu"/>
    <x v="6"/>
    <x v="3"/>
    <n v="1"/>
    <n v="235000"/>
    <n v="3"/>
    <n v="227950"/>
    <n v="42917.84"/>
    <x v="5"/>
    <s v="Cancelled"/>
    <x v="2"/>
    <s v="Yes"/>
  </r>
  <r>
    <s v="RIDEZONE BIKE SHOWROOM"/>
    <x v="458"/>
    <x v="331"/>
    <s v="CUST2459"/>
    <s v="Suresh B"/>
    <s v="Female"/>
    <n v="35"/>
    <x v="3"/>
    <s v="Tamil Nadu"/>
    <x v="5"/>
    <x v="0"/>
    <n v="3"/>
    <n v="195000"/>
    <n v="3"/>
    <n v="567450"/>
    <n v="107187.26"/>
    <x v="6"/>
    <s v="Cancelled"/>
    <x v="4"/>
    <s v="No"/>
  </r>
  <r>
    <s v="RIDEZONE BIKE SHOWROOM"/>
    <x v="459"/>
    <x v="222"/>
    <s v="CUST2460"/>
    <s v="Vignesh P"/>
    <s v="Female"/>
    <n v="52"/>
    <x v="0"/>
    <s v="Tamil Nadu"/>
    <x v="2"/>
    <x v="0"/>
    <n v="1"/>
    <n v="96000"/>
    <n v="5"/>
    <n v="91200"/>
    <n v="8742.52"/>
    <x v="2"/>
    <s v="Completed"/>
    <x v="1"/>
    <s v="No"/>
  </r>
  <r>
    <s v="RIDEZONE BIKE SHOWROOM"/>
    <x v="460"/>
    <x v="332"/>
    <s v="CUST2461"/>
    <s v="Santhosh R"/>
    <s v="Female"/>
    <n v="41"/>
    <x v="7"/>
    <s v="Tamil Nadu"/>
    <x v="6"/>
    <x v="2"/>
    <n v="1"/>
    <n v="233000"/>
    <n v="5"/>
    <n v="221350"/>
    <n v="36812.42"/>
    <x v="5"/>
    <s v="Cancelled"/>
    <x v="2"/>
    <s v="Yes"/>
  </r>
  <r>
    <s v="RIDEZONE BIKE SHOWROOM"/>
    <x v="461"/>
    <x v="223"/>
    <s v="CUST2462"/>
    <s v="Vignesh P"/>
    <s v="Male"/>
    <n v="39"/>
    <x v="8"/>
    <s v="Tamil Nadu"/>
    <x v="3"/>
    <x v="0"/>
    <n v="1"/>
    <n v="176000"/>
    <n v="2"/>
    <n v="172480"/>
    <n v="29131.05"/>
    <x v="6"/>
    <s v="Cancelled"/>
    <x v="1"/>
    <s v="Yes"/>
  </r>
  <r>
    <s v="RIDEZONE BIKE SHOWROOM"/>
    <x v="462"/>
    <x v="60"/>
    <s v="CUST2463"/>
    <s v="Divya M"/>
    <s v="Female"/>
    <n v="52"/>
    <x v="6"/>
    <s v="Tamil Nadu"/>
    <x v="6"/>
    <x v="3"/>
    <n v="1"/>
    <n v="235000"/>
    <n v="0"/>
    <n v="235000"/>
    <n v="33326.660000000003"/>
    <x v="3"/>
    <s v="Returned"/>
    <x v="2"/>
    <s v="No"/>
  </r>
  <r>
    <s v="RIDEZONE BIKE SHOWROOM"/>
    <x v="463"/>
    <x v="197"/>
    <s v="CUST2464"/>
    <s v="Santhosh R"/>
    <s v="Male"/>
    <n v="31"/>
    <x v="6"/>
    <s v="Tamil Nadu"/>
    <x v="6"/>
    <x v="1"/>
    <n v="1"/>
    <n v="236000"/>
    <n v="2"/>
    <n v="231280"/>
    <n v="22253.01"/>
    <x v="5"/>
    <s v="Returned"/>
    <x v="5"/>
    <s v="Yes"/>
  </r>
  <r>
    <s v="RIDEZONE BIKE SHOWROOM"/>
    <x v="464"/>
    <x v="132"/>
    <s v="CUST2465"/>
    <s v="Vignesh P"/>
    <s v="Female"/>
    <n v="47"/>
    <x v="1"/>
    <s v="Tamil Nadu"/>
    <x v="1"/>
    <x v="0"/>
    <n v="1"/>
    <n v="114000"/>
    <n v="2"/>
    <n v="111720"/>
    <n v="20741.53"/>
    <x v="3"/>
    <s v="Returned"/>
    <x v="1"/>
    <s v="No"/>
  </r>
  <r>
    <s v="RIDEZONE BIKE SHOWROOM"/>
    <x v="465"/>
    <x v="201"/>
    <s v="CUST2466"/>
    <s v="Arun Kumar"/>
    <s v="Male"/>
    <n v="32"/>
    <x v="2"/>
    <s v="Tamil Nadu"/>
    <x v="2"/>
    <x v="3"/>
    <n v="1"/>
    <n v="97000"/>
    <n v="5"/>
    <n v="92150"/>
    <n v="13714.05"/>
    <x v="2"/>
    <s v="Returned"/>
    <x v="5"/>
    <s v="No"/>
  </r>
  <r>
    <s v="RIDEZONE BIKE SHOWROOM"/>
    <x v="466"/>
    <x v="161"/>
    <s v="CUST2467"/>
    <s v="Priya S"/>
    <s v="Male"/>
    <n v="55"/>
    <x v="0"/>
    <s v="Tamil Nadu"/>
    <x v="5"/>
    <x v="1"/>
    <n v="1"/>
    <n v="195000"/>
    <n v="2"/>
    <n v="191100"/>
    <n v="38318.080000000002"/>
    <x v="5"/>
    <s v="Completed"/>
    <x v="4"/>
    <s v="No"/>
  </r>
  <r>
    <s v="RIDEZONE BIKE SHOWROOM"/>
    <x v="467"/>
    <x v="333"/>
    <s v="CUST2468"/>
    <s v="Priya S"/>
    <s v="Male"/>
    <n v="45"/>
    <x v="2"/>
    <s v="Tamil Nadu"/>
    <x v="6"/>
    <x v="0"/>
    <n v="2"/>
    <n v="235000"/>
    <n v="3"/>
    <n v="455900"/>
    <n v="51417.7"/>
    <x v="6"/>
    <s v="Cancelled"/>
    <x v="2"/>
    <s v="Yes"/>
  </r>
  <r>
    <s v="RIDEZONE BIKE SHOWROOM"/>
    <x v="468"/>
    <x v="300"/>
    <s v="CUST2469"/>
    <s v="Vignesh P"/>
    <s v="Male"/>
    <n v="35"/>
    <x v="8"/>
    <s v="Tamil Nadu"/>
    <x v="8"/>
    <x v="2"/>
    <n v="1"/>
    <n v="125000"/>
    <n v="0"/>
    <n v="121250"/>
    <n v="11264.99"/>
    <x v="6"/>
    <s v="Pending"/>
    <x v="0"/>
    <s v="No"/>
  </r>
  <r>
    <s v="RIDEZONE BIKE SHOWROOM"/>
    <x v="469"/>
    <x v="200"/>
    <s v="CUST2470"/>
    <s v="Rahul K"/>
    <s v="Female"/>
    <n v="5"/>
    <x v="7"/>
    <s v="Tamil Nadu"/>
    <x v="3"/>
    <x v="1"/>
    <n v="1"/>
    <n v="176000"/>
    <n v="0"/>
    <n v="176000"/>
    <n v="28363.63"/>
    <x v="3"/>
    <s v="Cancelled"/>
    <x v="0"/>
    <s v="No"/>
  </r>
  <r>
    <s v="RIDEZONE BIKE SHOWROOM"/>
    <x v="470"/>
    <x v="125"/>
    <s v="CUST2471"/>
    <s v="Arun Kumar"/>
    <s v="Male"/>
    <n v="22"/>
    <x v="3"/>
    <s v="Tamil Nadu"/>
    <x v="3"/>
    <x v="3"/>
    <n v="1"/>
    <n v="173000"/>
    <n v="10"/>
    <n v="155700"/>
    <n v="689.12"/>
    <x v="4"/>
    <s v="Cancelled"/>
    <x v="3"/>
    <s v="No"/>
  </r>
  <r>
    <s v="RIDEZONE BIKE SHOWROOM"/>
    <x v="471"/>
    <x v="175"/>
    <s v="CUST2472"/>
    <s v="Divya M"/>
    <s v="Male"/>
    <n v="36"/>
    <x v="4"/>
    <s v="Tamil Nadu"/>
    <x v="0"/>
    <x v="2"/>
    <n v="2"/>
    <n v="95000"/>
    <n v="0"/>
    <n v="190000"/>
    <n v="21056.81"/>
    <x v="5"/>
    <s v="Pending"/>
    <x v="0"/>
    <s v="No"/>
  </r>
  <r>
    <s v="RIDEZONE BIKE SHOWROOM"/>
    <x v="472"/>
    <x v="334"/>
    <s v="CUST2473"/>
    <s v=" Vignesh P "/>
    <s v="Female"/>
    <n v="50"/>
    <x v="7"/>
    <s v="Tamil Nadu"/>
    <x v="4"/>
    <x v="1"/>
    <n v="1"/>
    <n v="125000"/>
    <n v="0"/>
    <n v="125000"/>
    <n v="15152.03"/>
    <x v="6"/>
    <s v="Pending"/>
    <x v="3"/>
    <s v="No"/>
  </r>
  <r>
    <s v="RIDEZONE BIKE SHOWROOM"/>
    <x v="473"/>
    <x v="316"/>
    <s v="CUST2474"/>
    <s v="Arun Kumar"/>
    <s v="Male"/>
    <n v="49"/>
    <x v="11"/>
    <s v="Tamil Nadu"/>
    <x v="1"/>
    <x v="2"/>
    <n v="1"/>
    <n v="116000"/>
    <n v="10"/>
    <n v="104400"/>
    <n v="2597.08"/>
    <x v="2"/>
    <s v="Pending"/>
    <x v="4"/>
    <s v="No"/>
  </r>
  <r>
    <s v="RIDEZONE BIKE SHOWROOM"/>
    <x v="474"/>
    <x v="197"/>
    <s v="CUST2475"/>
    <s v="Vignesh P"/>
    <s v="Female"/>
    <n v="28"/>
    <x v="2"/>
    <s v="Tamil Nadu"/>
    <x v="8"/>
    <x v="1"/>
    <n v="1"/>
    <n v="123000"/>
    <n v="0"/>
    <n v="123000"/>
    <n v="24730.54"/>
    <x v="2"/>
    <s v="Pending"/>
    <x v="1"/>
    <s v="Yes"/>
  </r>
  <r>
    <s v="RIDEZONE BIKE SHOWROOM"/>
    <x v="475"/>
    <x v="335"/>
    <s v="CUST2476"/>
    <s v="Vignesh P"/>
    <s v="Male"/>
    <n v="45"/>
    <x v="3"/>
    <s v="Tamil Nadu"/>
    <x v="6"/>
    <x v="0"/>
    <n v="1"/>
    <n v="234000"/>
    <n v="0"/>
    <n v="234000"/>
    <n v="39840.94"/>
    <x v="5"/>
    <s v="Pending"/>
    <x v="4"/>
    <s v="No"/>
  </r>
  <r>
    <s v="RIDEZONE BIKE SHOWROOM"/>
    <x v="476"/>
    <x v="336"/>
    <s v="CUST2477"/>
    <s v="Priya S"/>
    <s v="Male"/>
    <n v="36"/>
    <x v="2"/>
    <s v="Tamil Nadu"/>
    <x v="8"/>
    <x v="3"/>
    <n v="1"/>
    <n v="124000"/>
    <n v="0"/>
    <n v="124000"/>
    <n v="21312.6"/>
    <x v="1"/>
    <s v="Completed"/>
    <x v="4"/>
    <s v="No"/>
  </r>
  <r>
    <s v="RIDEZONE BIKE SHOWROOM"/>
    <x v="477"/>
    <x v="337"/>
    <s v="CUST2478"/>
    <s v=" Santhosh R "/>
    <s v="Female"/>
    <n v="38"/>
    <x v="6"/>
    <s v="Tamil Nadu"/>
    <x v="3"/>
    <x v="2"/>
    <n v="1"/>
    <n v="177000"/>
    <n v="2"/>
    <n v="173460"/>
    <n v="31352.84"/>
    <x v="4"/>
    <s v="Pending"/>
    <x v="5"/>
    <s v="Yes"/>
  </r>
  <r>
    <s v="RIDEZONE BIKE SHOWROOM"/>
    <x v="478"/>
    <x v="338"/>
    <s v="CUST2479"/>
    <s v="Santhosh R"/>
    <s v="Male"/>
    <n v="35"/>
    <x v="1"/>
    <s v="Tamil Nadu"/>
    <x v="7"/>
    <x v="3"/>
    <n v="1"/>
    <n v="170000"/>
    <n v="2"/>
    <n v="166600"/>
    <n v="33413.03"/>
    <x v="2"/>
    <s v="Completed"/>
    <x v="4"/>
    <s v="No"/>
  </r>
  <r>
    <s v="RIDEZONE BIKE SHOWROOM"/>
    <x v="479"/>
    <x v="339"/>
    <s v="CUST2480"/>
    <s v=" Divya M "/>
    <s v="Male"/>
    <n v="120"/>
    <x v="3"/>
    <s v="Tamil Nadu"/>
    <x v="2"/>
    <x v="0"/>
    <n v="2"/>
    <n v="98000"/>
    <n v="10"/>
    <n v="176400"/>
    <n v="18528.64"/>
    <x v="5"/>
    <s v="Completed"/>
    <x v="1"/>
    <s v="Yes"/>
  </r>
  <r>
    <s v="RIDEZONE BIKE SHOWROOM"/>
    <x v="480"/>
    <x v="128"/>
    <s v="CUST2481"/>
    <s v="Divya M"/>
    <s v="Female"/>
    <n v="20"/>
    <x v="3"/>
    <s v="Tamil Nadu"/>
    <x v="3"/>
    <x v="3"/>
    <n v="3"/>
    <n v="177000"/>
    <n v="7"/>
    <n v="493830"/>
    <n v="34436.46"/>
    <x v="4"/>
    <s v="Cancelled"/>
    <x v="0"/>
    <s v="Yes"/>
  </r>
  <r>
    <s v="RIDEZONE BIKE SHOWROOM"/>
    <x v="481"/>
    <x v="266"/>
    <s v="CUST2482"/>
    <s v="Karthik Raj"/>
    <s v="Female"/>
    <n v="28"/>
    <x v="5"/>
    <s v="Tamil Nadu"/>
    <x v="6"/>
    <x v="1"/>
    <n v="1"/>
    <n v="236000"/>
    <n v="5"/>
    <n v="224200"/>
    <n v="13773.14"/>
    <x v="1"/>
    <s v="Cancelled"/>
    <x v="4"/>
    <s v="No"/>
  </r>
  <r>
    <s v="RIDEZONE BIKE SHOWROOM"/>
    <x v="482"/>
    <x v="78"/>
    <s v="CUST2483"/>
    <s v="Divya M"/>
    <s v="Female"/>
    <n v="38"/>
    <x v="5"/>
    <s v="Tamil Nadu"/>
    <x v="9"/>
    <x v="3"/>
    <n v="1"/>
    <n v="85000"/>
    <n v="10"/>
    <n v="76500"/>
    <n v="6521.96"/>
    <x v="4"/>
    <s v="Pending"/>
    <x v="1"/>
    <s v="No"/>
  </r>
  <r>
    <s v="RIDEZONE BIKE SHOWROOM"/>
    <x v="483"/>
    <x v="202"/>
    <s v="CUST2484"/>
    <s v="Divya M"/>
    <s v="Male"/>
    <n v="50"/>
    <x v="6"/>
    <s v="Tamil Nadu"/>
    <x v="2"/>
    <x v="1"/>
    <n v="1"/>
    <n v="97000"/>
    <n v="0"/>
    <n v="97000"/>
    <n v="18664.419999999998"/>
    <x v="2"/>
    <s v="Completed"/>
    <x v="2"/>
    <s v="Yes"/>
  </r>
  <r>
    <s v="RIDEZONE BIKE SHOWROOM"/>
    <x v="484"/>
    <x v="276"/>
    <s v="CUST2485"/>
    <s v="Karthik Raj"/>
    <s v="Female"/>
    <n v="29"/>
    <x v="3"/>
    <s v="Tamil Nadu"/>
    <x v="3"/>
    <x v="0"/>
    <n v="3"/>
    <n v="176000"/>
    <n v="5"/>
    <n v="501600"/>
    <n v="60756.35"/>
    <x v="3"/>
    <s v="Cancelled"/>
    <x v="0"/>
    <s v="Yes"/>
  </r>
  <r>
    <s v="RIDEZONE BIKE SHOWROOM"/>
    <x v="485"/>
    <x v="340"/>
    <s v="CUST2486"/>
    <s v="Priya S"/>
    <s v="Female"/>
    <n v="0"/>
    <x v="2"/>
    <s v="Tamil Nadu"/>
    <x v="1"/>
    <x v="0"/>
    <n v="1"/>
    <n v="117000"/>
    <n v="7"/>
    <n v="108810"/>
    <n v="14567.96"/>
    <x v="3"/>
    <s v="Returned"/>
    <x v="3"/>
    <s v="Yes"/>
  </r>
  <r>
    <s v="RIDEZONE BIKE SHOWROOM"/>
    <x v="486"/>
    <x v="322"/>
    <s v="CUST2487"/>
    <s v="Rahul K"/>
    <s v="Male"/>
    <n v="26"/>
    <x v="0"/>
    <s v="Tamil Nadu"/>
    <x v="4"/>
    <x v="0"/>
    <n v="1"/>
    <n v="127000"/>
    <n v="0"/>
    <n v="127000"/>
    <n v="21932.85"/>
    <x v="6"/>
    <s v="Returned"/>
    <x v="3"/>
    <s v="No"/>
  </r>
  <r>
    <s v="RIDEZONE BIKE SHOWROOM"/>
    <x v="487"/>
    <x v="177"/>
    <s v="CUST2488"/>
    <s v="Priya S"/>
    <s v="Male"/>
    <n v="40"/>
    <x v="2"/>
    <s v="Tamil Nadu"/>
    <x v="4"/>
    <x v="0"/>
    <n v="1"/>
    <n v="173000"/>
    <n v="3"/>
    <n v="167810"/>
    <n v="12737.56"/>
    <x v="5"/>
    <s v="Cancelled"/>
    <x v="4"/>
    <s v="Yes"/>
  </r>
  <r>
    <s v="RIDEZONE BIKE SHOWROOM"/>
    <x v="488"/>
    <x v="73"/>
    <s v="CUST2489"/>
    <s v="Arun Kumar"/>
    <s v="Male"/>
    <n v="25"/>
    <x v="7"/>
    <s v="Tamil Nadu"/>
    <x v="1"/>
    <x v="2"/>
    <n v="1"/>
    <n v="115000"/>
    <n v="2"/>
    <n v="112700"/>
    <n v="19686.89"/>
    <x v="4"/>
    <s v="Returned"/>
    <x v="1"/>
    <s v="Yes"/>
  </r>
  <r>
    <s v="RIDEZONE BIKE SHOWROOM"/>
    <x v="489"/>
    <x v="341"/>
    <s v="CUST2490"/>
    <s v="Rahul K"/>
    <s v="Male"/>
    <n v="28"/>
    <x v="2"/>
    <s v="Tamil Nadu"/>
    <x v="0"/>
    <x v="3"/>
    <n v="1"/>
    <n v="95000"/>
    <n v="10"/>
    <n v="85500"/>
    <n v="2207.5700000000002"/>
    <x v="3"/>
    <s v="Returned"/>
    <x v="2"/>
    <s v="No"/>
  </r>
  <r>
    <s v="RIDEZONE BIKE SHOWROOM"/>
    <x v="490"/>
    <x v="342"/>
    <s v="CUST2491"/>
    <s v="Vignesh P"/>
    <s v="Female"/>
    <n v="31"/>
    <x v="2"/>
    <s v="Tamil Nadu"/>
    <x v="3"/>
    <x v="0"/>
    <n v="1"/>
    <n v="175000"/>
    <n v="0"/>
    <n v="175000"/>
    <n v="22613.7"/>
    <x v="5"/>
    <s v="Cancelled"/>
    <x v="2"/>
    <s v="Yes"/>
  </r>
  <r>
    <s v="RIDEZONE BIKE SHOWROOM"/>
    <x v="491"/>
    <x v="266"/>
    <s v="CUST2492"/>
    <s v="Karthik Raj"/>
    <s v="Female"/>
    <n v="47"/>
    <x v="6"/>
    <s v="Tamil Nadu"/>
    <x v="4"/>
    <x v="3"/>
    <n v="1"/>
    <n v="100000"/>
    <n v="7"/>
    <n v="93000"/>
    <n v="13992.36"/>
    <x v="1"/>
    <s v="Pending"/>
    <x v="3"/>
    <s v="No"/>
  </r>
  <r>
    <s v="RIDEZONE BIKE SHOWROOM"/>
    <x v="492"/>
    <x v="128"/>
    <s v="CUST2493"/>
    <s v="Karthik Raj"/>
    <s v="Female"/>
    <n v="52"/>
    <x v="7"/>
    <s v="Tamil Nadu"/>
    <x v="8"/>
    <x v="1"/>
    <n v="1"/>
    <n v="123000"/>
    <n v="7"/>
    <n v="114390"/>
    <n v="17320.38"/>
    <x v="6"/>
    <s v="Returned"/>
    <x v="3"/>
    <s v="No"/>
  </r>
  <r>
    <s v="RIDEZONE BIKE SHOWROOM"/>
    <x v="493"/>
    <x v="53"/>
    <s v="CUST2494"/>
    <s v="Priya S"/>
    <s v="Female"/>
    <n v="31"/>
    <x v="14"/>
    <s v="Tamil Nadu"/>
    <x v="4"/>
    <x v="0"/>
    <n v="1"/>
    <n v="126000"/>
    <n v="0"/>
    <n v="126000"/>
    <n v="25997.3"/>
    <x v="6"/>
    <s v="Returned"/>
    <x v="3"/>
    <s v="No"/>
  </r>
  <r>
    <s v="RIDEZONE BIKE SHOWROOM"/>
    <x v="494"/>
    <x v="87"/>
    <s v="CUST2495"/>
    <s v="Suresh B"/>
    <s v="Male"/>
    <n v="31"/>
    <x v="6"/>
    <s v="Tamil Nadu"/>
    <x v="4"/>
    <x v="0"/>
    <n v="1"/>
    <n v="125000"/>
    <n v="7"/>
    <n v="116250"/>
    <n v="6632.49"/>
    <x v="5"/>
    <s v="Completed"/>
    <x v="2"/>
    <s v="Yes"/>
  </r>
  <r>
    <s v="RIDEZONE BIKE SHOWROOM"/>
    <x v="495"/>
    <x v="43"/>
    <s v="CUST2496"/>
    <s v="Divya M"/>
    <s v="Female"/>
    <n v="0"/>
    <x v="7"/>
    <s v="Tamil Nadu"/>
    <x v="9"/>
    <x v="1"/>
    <n v="1"/>
    <n v="84000"/>
    <n v="10"/>
    <n v="75600"/>
    <n v="5270.63"/>
    <x v="7"/>
    <s v="Completed"/>
    <x v="0"/>
    <s v="Yes"/>
  </r>
  <r>
    <s v="RIDEZONE BIKE SHOWROOM"/>
    <x v="496"/>
    <x v="115"/>
    <s v="CUST2497"/>
    <s v="Santhosh R"/>
    <s v="Male"/>
    <n v="33"/>
    <x v="1"/>
    <s v="Tamil Nadu"/>
    <x v="9"/>
    <x v="2"/>
    <n v="1"/>
    <n v="83000"/>
    <n v="10"/>
    <n v="74700"/>
    <n v="293.62"/>
    <x v="0"/>
    <s v="Pending"/>
    <x v="4"/>
    <s v="No"/>
  </r>
  <r>
    <s v="RIDEZONE BIKE SHOWROOM"/>
    <x v="497"/>
    <x v="208"/>
    <s v="CUST2498"/>
    <s v="Santhosh R"/>
    <s v="Female"/>
    <n v="48"/>
    <x v="5"/>
    <s v="Tamil Nadu"/>
    <x v="3"/>
    <x v="0"/>
    <n v="1"/>
    <n v="173000"/>
    <n v="0"/>
    <n v="173000"/>
    <n v="34611.65"/>
    <x v="2"/>
    <s v="Pending"/>
    <x v="0"/>
    <s v="No"/>
  </r>
  <r>
    <s v="RIDEZONE BIKE SHOWROOM"/>
    <x v="498"/>
    <x v="153"/>
    <s v="CUST2499"/>
    <s v="Santhosh R"/>
    <s v="Female"/>
    <n v="46"/>
    <x v="7"/>
    <s v="Tamil Nadu"/>
    <x v="6"/>
    <x v="0"/>
    <n v="1"/>
    <n v="233000"/>
    <n v="0"/>
    <n v="233000"/>
    <n v="33633.74"/>
    <x v="2"/>
    <s v="Returned"/>
    <x v="2"/>
    <s v="No"/>
  </r>
  <r>
    <s v="RIDEZONE BIKE SHOWROOM"/>
    <x v="499"/>
    <x v="33"/>
    <s v="CUST2500"/>
    <s v="Vignesh P"/>
    <s v="Female"/>
    <n v="37"/>
    <x v="0"/>
    <s v="Tamil Nadu"/>
    <x v="8"/>
    <x v="0"/>
    <n v="1"/>
    <n v="125000"/>
    <n v="7"/>
    <n v="116250"/>
    <n v="14012.25"/>
    <x v="2"/>
    <s v="Cancelled"/>
    <x v="2"/>
    <s v="No"/>
  </r>
  <r>
    <s v="RIDEZONE BIKE SHOWROOM"/>
    <x v="500"/>
    <x v="343"/>
    <s v="CUST2501"/>
    <s v="Suresh B"/>
    <s v="Female"/>
    <n v="52"/>
    <x v="5"/>
    <s v="Tamil Nadu"/>
    <x v="9"/>
    <x v="1"/>
    <n v="1"/>
    <n v="84000"/>
    <n v="5"/>
    <n v="79800"/>
    <n v="10814.02"/>
    <x v="1"/>
    <s v="Cancelled"/>
    <x v="3"/>
    <s v="No"/>
  </r>
  <r>
    <s v="RIDEZONE BIKE SHOWROOM"/>
    <x v="501"/>
    <x v="289"/>
    <s v="CUST2502"/>
    <s v="Priya S"/>
    <s v="Male"/>
    <n v="50"/>
    <x v="3"/>
    <s v="Tamil Nadu"/>
    <x v="5"/>
    <x v="2"/>
    <n v="1"/>
    <n v="194000"/>
    <n v="7"/>
    <n v="180420"/>
    <n v="24276.18"/>
    <x v="1"/>
    <s v="Returned"/>
    <x v="4"/>
    <s v="No"/>
  </r>
  <r>
    <s v="RIDEZONE BIKE SHOWROOM"/>
    <x v="502"/>
    <x v="68"/>
    <s v="CUST2503"/>
    <s v="Rahul K"/>
    <s v="Male"/>
    <n v="36"/>
    <x v="2"/>
    <s v="Tamil Nadu"/>
    <x v="3"/>
    <x v="2"/>
    <n v="1"/>
    <n v="176000"/>
    <n v="0"/>
    <n v="176000"/>
    <n v="17615.599999999999"/>
    <x v="5"/>
    <s v="Completed"/>
    <x v="1"/>
    <s v="No"/>
  </r>
  <r>
    <s v="RIDEZONE BIKE SHOWROOM"/>
    <x v="503"/>
    <x v="344"/>
    <s v="CUST2504"/>
    <s v="Arun Kumar"/>
    <s v="Female"/>
    <n v="42"/>
    <x v="1"/>
    <s v="Tamil Nadu"/>
    <x v="0"/>
    <x v="2"/>
    <n v="1"/>
    <n v="94000"/>
    <n v="5"/>
    <n v="89300"/>
    <n v="13071.77"/>
    <x v="6"/>
    <s v="Completed"/>
    <x v="2"/>
    <s v="No"/>
  </r>
  <r>
    <s v="RIDEZONE BIKE SHOWROOM"/>
    <x v="504"/>
    <x v="345"/>
    <s v="CUST2505"/>
    <s v="Karthik Raj"/>
    <s v="Male"/>
    <n v="52"/>
    <x v="8"/>
    <s v="Tamil Nadu"/>
    <x v="0"/>
    <x v="0"/>
    <n v="1"/>
    <n v="96000"/>
    <n v="0"/>
    <n v="96000"/>
    <n v="11632.01"/>
    <x v="3"/>
    <s v="Cancelled"/>
    <x v="0"/>
    <s v="No"/>
  </r>
  <r>
    <s v="RIDEZONE BIKE SHOWROOM"/>
    <x v="505"/>
    <x v="85"/>
    <s v="CUST2506"/>
    <s v="Karthik Raj"/>
    <s v="Male"/>
    <n v="28"/>
    <x v="6"/>
    <s v="Tamil Nadu"/>
    <x v="3"/>
    <x v="1"/>
    <n v="1"/>
    <n v="173000"/>
    <n v="2"/>
    <n v="169540"/>
    <n v="21166.35"/>
    <x v="4"/>
    <s v="Completed"/>
    <x v="0"/>
    <s v="No"/>
  </r>
  <r>
    <s v="RIDEZONE BIKE SHOWROOM"/>
    <x v="506"/>
    <x v="346"/>
    <s v="CUST2507"/>
    <s v="Suresh B"/>
    <s v="Male"/>
    <n v="43"/>
    <x v="2"/>
    <s v="Tamil Nadu"/>
    <x v="4"/>
    <x v="1"/>
    <n v="1"/>
    <n v="123000"/>
    <n v="3"/>
    <n v="119310"/>
    <n v="17872.84"/>
    <x v="3"/>
    <s v="Pending"/>
    <x v="2"/>
    <s v="No"/>
  </r>
  <r>
    <s v="RIDEZONE BIKE SHOWROOM"/>
    <x v="507"/>
    <x v="347"/>
    <s v="CUST2508"/>
    <s v="Priya S"/>
    <s v="Male"/>
    <n v="48"/>
    <x v="6"/>
    <s v="Tamil Nadu"/>
    <x v="5"/>
    <x v="0"/>
    <n v="2"/>
    <n v="196000"/>
    <n v="10"/>
    <n v="352800"/>
    <n v="30022.13"/>
    <x v="0"/>
    <s v="Cancelled"/>
    <x v="1"/>
    <s v="No"/>
  </r>
  <r>
    <s v="RIDEZONE BIKE SHOWROOM"/>
    <x v="508"/>
    <x v="262"/>
    <s v="CUST2509"/>
    <s v="Divya M"/>
    <s v="Female"/>
    <n v="23"/>
    <x v="7"/>
    <s v="Tamil Nadu"/>
    <x v="2"/>
    <x v="1"/>
    <n v="1"/>
    <n v="96000"/>
    <n v="10"/>
    <n v="86400"/>
    <n v="892.58"/>
    <x v="5"/>
    <s v="Cancelled"/>
    <x v="1"/>
    <s v="Yes"/>
  </r>
  <r>
    <s v="RIDEZONE BIKE SHOWROOM"/>
    <x v="509"/>
    <x v="95"/>
    <s v="CUST2510"/>
    <s v="Rahul K"/>
    <s v="Female"/>
    <n v="48"/>
    <x v="5"/>
    <s v="Tamil Nadu"/>
    <x v="7"/>
    <x v="2"/>
    <n v="1"/>
    <n v="170000"/>
    <n v="10"/>
    <n v="153000"/>
    <n v="16215.28"/>
    <x v="5"/>
    <s v="Completed"/>
    <x v="4"/>
    <s v="No"/>
  </r>
  <r>
    <s v="RIDEZONE BIKE SHOWROOM"/>
    <x v="510"/>
    <x v="284"/>
    <s v="CUST2511"/>
    <s v="Divya M"/>
    <s v="Female"/>
    <n v="55"/>
    <x v="5"/>
    <s v="Tamil Nadu"/>
    <x v="5"/>
    <x v="2"/>
    <n v="1"/>
    <n v="196000"/>
    <n v="3"/>
    <n v="190120"/>
    <n v="32212.959999999999"/>
    <x v="5"/>
    <s v="Completed"/>
    <x v="5"/>
    <s v="No"/>
  </r>
  <r>
    <s v="RIDEZONE BIKE SHOWROOM"/>
    <x v="511"/>
    <x v="74"/>
    <s v="CUST2512"/>
    <s v="Rahul K"/>
    <s v="Male"/>
    <n v="36"/>
    <x v="2"/>
    <s v="Tamil Nadu"/>
    <x v="8"/>
    <x v="0"/>
    <n v="1"/>
    <n v="126000"/>
    <n v="0"/>
    <n v="126000"/>
    <n v="16652.37"/>
    <x v="6"/>
    <s v="Returned"/>
    <x v="1"/>
    <s v="Yes"/>
  </r>
  <r>
    <s v="RIDEZONE BIKE SHOWROOM"/>
    <x v="512"/>
    <x v="45"/>
    <s v="CUST2513"/>
    <s v="Rahul K"/>
    <s v="Female"/>
    <n v="120"/>
    <x v="3"/>
    <s v="Tamil Nadu"/>
    <x v="3"/>
    <x v="3"/>
    <n v="3"/>
    <n v="177000"/>
    <n v="7"/>
    <n v="493830"/>
    <n v="43610.14"/>
    <x v="1"/>
    <s v="Returned"/>
    <x v="5"/>
    <s v="Yes"/>
  </r>
  <r>
    <s v="RIDEZONE BIKE SHOWROOM"/>
    <x v="513"/>
    <x v="238"/>
    <s v="CUST2514"/>
    <s v="Vignesh P"/>
    <s v="Male"/>
    <n v="47"/>
    <x v="3"/>
    <s v="Tamil Nadu"/>
    <x v="0"/>
    <x v="0"/>
    <n v="1"/>
    <n v="94000"/>
    <n v="3"/>
    <n v="91180"/>
    <n v="12735.39"/>
    <x v="5"/>
    <s v="Returned"/>
    <x v="0"/>
    <s v="No"/>
  </r>
  <r>
    <s v="RIDEZONE BIKE SHOWROOM"/>
    <x v="514"/>
    <x v="31"/>
    <s v="CUST2515"/>
    <s v="Vignesh P"/>
    <s v="Female"/>
    <n v="53"/>
    <x v="6"/>
    <s v="Tamil Nadu"/>
    <x v="8"/>
    <x v="1"/>
    <n v="1"/>
    <n v="127000"/>
    <n v="7"/>
    <n v="118110"/>
    <n v="12912.03"/>
    <x v="4"/>
    <s v="Returned"/>
    <x v="3"/>
    <s v="No"/>
  </r>
  <r>
    <s v="RIDEZONE BIKE SHOWROOM"/>
    <x v="515"/>
    <x v="348"/>
    <s v="CUST2516"/>
    <s v=" Karthik Raj "/>
    <s v="Male"/>
    <n v="120"/>
    <x v="5"/>
    <s v="Tamil Nadu"/>
    <x v="5"/>
    <x v="1"/>
    <n v="1"/>
    <n v="194000"/>
    <n v="5"/>
    <n v="184300"/>
    <n v="16424.41"/>
    <x v="2"/>
    <s v="Completed"/>
    <x v="3"/>
    <s v="Yes"/>
  </r>
  <r>
    <s v="RIDEZONE BIKE SHOWROOM"/>
    <x v="516"/>
    <x v="70"/>
    <s v="CUST2517"/>
    <s v="Rahul K"/>
    <s v="Female"/>
    <n v="27"/>
    <x v="3"/>
    <s v="Tamil Nadu"/>
    <x v="1"/>
    <x v="0"/>
    <n v="2"/>
    <n v="113000"/>
    <n v="7"/>
    <n v="210180"/>
    <n v="10785.14"/>
    <x v="1"/>
    <s v="Completed"/>
    <x v="1"/>
    <s v="No"/>
  </r>
  <r>
    <s v="RIDEZONE BIKE SHOWROOM"/>
    <x v="517"/>
    <x v="234"/>
    <s v="CUST2518"/>
    <s v="Arun Kumar"/>
    <s v="Female"/>
    <n v="0"/>
    <x v="2"/>
    <s v="Tamil Nadu"/>
    <x v="4"/>
    <x v="3"/>
    <n v="1"/>
    <n v="123000"/>
    <n v="2"/>
    <n v="120540"/>
    <n v="22502.02"/>
    <x v="3"/>
    <s v="Pending"/>
    <x v="3"/>
    <s v="No"/>
  </r>
  <r>
    <s v="RIDEZONE BIKE SHOWROOM"/>
    <x v="518"/>
    <x v="158"/>
    <s v="CUST2519"/>
    <s v="Santhosh R"/>
    <s v="Female"/>
    <n v="39"/>
    <x v="8"/>
    <s v="Tamil Nadu"/>
    <x v="9"/>
    <x v="1"/>
    <n v="1"/>
    <n v="83000"/>
    <n v="0"/>
    <n v="83000"/>
    <n v="14100.95"/>
    <x v="2"/>
    <s v="Pending"/>
    <x v="0"/>
    <s v="No"/>
  </r>
  <r>
    <s v="RIDEZONE BIKE SHOWROOM"/>
    <x v="519"/>
    <x v="349"/>
    <s v="CUST2520"/>
    <s v="Suresh B"/>
    <s v="Female"/>
    <n v="44"/>
    <x v="6"/>
    <s v="Tamil Nadu"/>
    <x v="3"/>
    <x v="3"/>
    <n v="1"/>
    <n v="177000"/>
    <n v="3"/>
    <n v="171690"/>
    <n v="31732.95"/>
    <x v="8"/>
    <s v="Returned"/>
    <x v="3"/>
    <s v="No"/>
  </r>
  <r>
    <s v="RIDEZONE BIKE SHOWROOM"/>
    <x v="520"/>
    <x v="89"/>
    <s v="CUST2521"/>
    <s v="Karthik Raj"/>
    <s v="Male"/>
    <n v="55"/>
    <x v="5"/>
    <s v="Tamil Nadu"/>
    <x v="0"/>
    <x v="2"/>
    <n v="1"/>
    <n v="96000"/>
    <n v="10"/>
    <n v="86400"/>
    <n v="2348.25"/>
    <x v="5"/>
    <s v="Pending"/>
    <x v="2"/>
    <s v="Yes"/>
  </r>
  <r>
    <s v="RIDEZONE BIKE SHOWROOM"/>
    <x v="521"/>
    <x v="350"/>
    <s v="CUST2522"/>
    <s v="Karthik Raj"/>
    <s v="Female"/>
    <n v="48"/>
    <x v="5"/>
    <s v="Tamil Nadu"/>
    <x v="0"/>
    <x v="1"/>
    <n v="2"/>
    <n v="95000"/>
    <n v="2"/>
    <n v="186200"/>
    <n v="32407.46"/>
    <x v="5"/>
    <s v="Returned"/>
    <x v="4"/>
    <s v="No"/>
  </r>
  <r>
    <s v="RIDEZONE BIKE SHOWROOM"/>
    <x v="522"/>
    <x v="351"/>
    <s v="CUST2523"/>
    <s v="Karthik Raj"/>
    <s v="Male"/>
    <n v="27"/>
    <x v="5"/>
    <s v="Tamil Nadu"/>
    <x v="5"/>
    <x v="3"/>
    <n v="1"/>
    <n v="196000"/>
    <n v="3"/>
    <n v="190120"/>
    <n v="28255.1"/>
    <x v="1"/>
    <s v="Pending"/>
    <x v="1"/>
    <s v="Yes"/>
  </r>
  <r>
    <s v="RIDEZONE BIKE SHOWROOM"/>
    <x v="523"/>
    <x v="252"/>
    <s v="CUST2524"/>
    <s v="Arun Kumar"/>
    <s v="Male"/>
    <n v="31"/>
    <x v="2"/>
    <s v="Tamil Nadu"/>
    <x v="4"/>
    <x v="3"/>
    <n v="2"/>
    <n v="100000"/>
    <n v="2"/>
    <n v="196000"/>
    <n v="38586.07"/>
    <x v="0"/>
    <s v="Completed"/>
    <x v="1"/>
    <s v="Yes"/>
  </r>
  <r>
    <s v="RIDEZONE BIKE SHOWROOM"/>
    <x v="524"/>
    <x v="145"/>
    <s v="CUST2525"/>
    <s v=" Santhosh R "/>
    <s v="Female"/>
    <n v="35"/>
    <x v="3"/>
    <s v="Tamil Nadu"/>
    <x v="5"/>
    <x v="0"/>
    <n v="1"/>
    <n v="193000"/>
    <n v="0"/>
    <n v="193000"/>
    <n v="37768.720000000001"/>
    <x v="5"/>
    <s v="Completed"/>
    <x v="1"/>
    <s v="No"/>
  </r>
  <r>
    <s v="RIDEZONE BIKE SHOWROOM"/>
    <x v="525"/>
    <x v="267"/>
    <s v="CUST2526"/>
    <s v="Karthik Raj"/>
    <s v="Male"/>
    <n v="37"/>
    <x v="7"/>
    <s v="Tamil Nadu"/>
    <x v="1"/>
    <x v="2"/>
    <n v="1"/>
    <n v="113000"/>
    <n v="5"/>
    <n v="107350"/>
    <n v="10619.18"/>
    <x v="5"/>
    <s v="Returned"/>
    <x v="2"/>
    <s v="Yes"/>
  </r>
  <r>
    <s v="RIDEZONE BIKE SHOWROOM"/>
    <x v="526"/>
    <x v="137"/>
    <s v="CUST2527"/>
    <s v="Vignesh P"/>
    <s v="Female"/>
    <n v="35"/>
    <x v="1"/>
    <s v="Tamil Nadu"/>
    <x v="1"/>
    <x v="0"/>
    <n v="1"/>
    <n v="114000"/>
    <n v="3"/>
    <n v="110580"/>
    <n v="14266.78"/>
    <x v="5"/>
    <s v="Returned"/>
    <x v="5"/>
    <s v="No"/>
  </r>
  <r>
    <s v="RIDEZONE BIKE SHOWROOM"/>
    <x v="527"/>
    <x v="281"/>
    <s v="CUST2528"/>
    <s v="Suresh B"/>
    <s v="Female"/>
    <n v="42"/>
    <x v="0"/>
    <s v="Tamil Nadu"/>
    <x v="2"/>
    <x v="0"/>
    <n v="1"/>
    <n v="98000"/>
    <n v="3"/>
    <n v="95060"/>
    <n v="11589.08"/>
    <x v="1"/>
    <s v="Completed"/>
    <x v="1"/>
    <s v="Yes"/>
  </r>
  <r>
    <s v="RIDEZONE BIKE SHOWROOM"/>
    <x v="528"/>
    <x v="153"/>
    <s v="CUST2529"/>
    <s v="Rahul K"/>
    <s v="Female"/>
    <n v="33"/>
    <x v="8"/>
    <s v="Tamil Nadu"/>
    <x v="5"/>
    <x v="3"/>
    <n v="1"/>
    <n v="197000"/>
    <n v="7"/>
    <n v="183210"/>
    <n v="5937.87"/>
    <x v="0"/>
    <s v="Cancelled"/>
    <x v="0"/>
    <s v="No"/>
  </r>
  <r>
    <s v="RIDEZONE BIKE SHOWROOM"/>
    <x v="529"/>
    <x v="352"/>
    <s v="CUST2530"/>
    <s v="Santhosh R"/>
    <s v="Male"/>
    <n v="20"/>
    <x v="1"/>
    <s v="Tamil Nadu"/>
    <x v="4"/>
    <x v="0"/>
    <n v="1"/>
    <n v="126000"/>
    <n v="3"/>
    <n v="122220"/>
    <n v="23699.98"/>
    <x v="1"/>
    <s v="Returned"/>
    <x v="5"/>
    <s v="No"/>
  </r>
  <r>
    <s v="RIDEZONE BIKE SHOWROOM"/>
    <x v="530"/>
    <x v="353"/>
    <s v="CUST2531"/>
    <s v="Karthik Raj"/>
    <s v="Female"/>
    <n v="48"/>
    <x v="11"/>
    <s v="Tamil Nadu"/>
    <x v="5"/>
    <x v="1"/>
    <n v="1"/>
    <n v="197000"/>
    <n v="10"/>
    <n v="177300"/>
    <n v="21807.35"/>
    <x v="6"/>
    <s v="Returned"/>
    <x v="0"/>
    <s v="Yes"/>
  </r>
  <r>
    <s v="RIDEZONE BIKE SHOWROOM"/>
    <x v="531"/>
    <x v="354"/>
    <s v="CUST2532"/>
    <s v="Rahul K"/>
    <s v="Male"/>
    <n v="37"/>
    <x v="6"/>
    <s v="Tamil Nadu"/>
    <x v="0"/>
    <x v="0"/>
    <n v="1"/>
    <n v="94000"/>
    <n v="5"/>
    <n v="89300"/>
    <n v="15874.38"/>
    <x v="5"/>
    <s v="Pending"/>
    <x v="0"/>
    <s v="No"/>
  </r>
  <r>
    <s v="RIDEZONE BIKE SHOWROOM"/>
    <x v="532"/>
    <x v="355"/>
    <s v="CUST2533"/>
    <s v="Vignesh P"/>
    <s v="Male"/>
    <n v="32"/>
    <x v="0"/>
    <s v="Tamil Nadu"/>
    <x v="4"/>
    <x v="3"/>
    <n v="1"/>
    <n v="127000"/>
    <n v="10"/>
    <n v="114300"/>
    <n v="6004.15"/>
    <x v="0"/>
    <s v="Pending"/>
    <x v="5"/>
    <s v="Yes"/>
  </r>
  <r>
    <s v="RIDEZONE BIKE SHOWROOM"/>
    <x v="533"/>
    <x v="169"/>
    <s v="CUST2534"/>
    <s v="Divya M"/>
    <s v="Male"/>
    <n v="34"/>
    <x v="5"/>
    <s v="Tamil Nadu"/>
    <x v="6"/>
    <x v="0"/>
    <n v="1"/>
    <n v="234000"/>
    <n v="10"/>
    <n v="210600"/>
    <n v="26253.42"/>
    <x v="5"/>
    <s v="Returned"/>
    <x v="4"/>
    <s v="No"/>
  </r>
  <r>
    <s v="RIDEZONE BIKE SHOWROOM"/>
    <x v="534"/>
    <x v="103"/>
    <s v="CUST2535"/>
    <s v="Santhosh R"/>
    <s v="Female"/>
    <n v="49"/>
    <x v="3"/>
    <s v="Tamil Nadu"/>
    <x v="9"/>
    <x v="0"/>
    <n v="1"/>
    <n v="85000"/>
    <n v="3"/>
    <n v="82450"/>
    <n v="14908.48"/>
    <x v="3"/>
    <s v="Completed"/>
    <x v="1"/>
    <s v="No"/>
  </r>
  <r>
    <s v="RIDEZONE BIKE SHOWROOM"/>
    <x v="535"/>
    <x v="275"/>
    <s v="CUST2536"/>
    <s v="Suresh B"/>
    <s v="Female"/>
    <n v="21"/>
    <x v="6"/>
    <s v="Tamil Nadu"/>
    <x v="1"/>
    <x v="0"/>
    <n v="1"/>
    <n v="115000"/>
    <n v="2"/>
    <n v="112700"/>
    <n v="18381.060000000001"/>
    <x v="3"/>
    <s v="Pending"/>
    <x v="0"/>
    <s v="No"/>
  </r>
  <r>
    <s v="RIDEZONE BIKE SHOWROOM"/>
    <x v="536"/>
    <x v="302"/>
    <s v="CUST2537"/>
    <s v="Divya M"/>
    <s v="Male"/>
    <n v="41"/>
    <x v="8"/>
    <s v="Tamil Nadu"/>
    <x v="7"/>
    <x v="0"/>
    <n v="1"/>
    <n v="168000"/>
    <n v="0"/>
    <n v="168000"/>
    <n v="27283.88"/>
    <x v="2"/>
    <s v="Pending"/>
    <x v="1"/>
    <s v="Yes"/>
  </r>
  <r>
    <s v="RIDEZONE BIKE SHOWROOM"/>
    <x v="537"/>
    <x v="356"/>
    <s v="CUST2538"/>
    <s v="Karthik Raj"/>
    <s v="Male"/>
    <n v="75"/>
    <x v="1"/>
    <s v="Tamil Nadu"/>
    <x v="4"/>
    <x v="0"/>
    <n v="2"/>
    <n v="126000"/>
    <n v="7"/>
    <n v="234360"/>
    <n v="24538.87"/>
    <x v="5"/>
    <s v="Returned"/>
    <x v="1"/>
    <s v="Yes"/>
  </r>
  <r>
    <s v="RIDEZONE BIKE SHOWROOM"/>
    <x v="538"/>
    <x v="153"/>
    <s v="CUST2539"/>
    <s v="Karthik Raj"/>
    <s v="Male"/>
    <n v="24"/>
    <x v="0"/>
    <s v="Tamil Nadu"/>
    <x v="2"/>
    <x v="0"/>
    <n v="2"/>
    <n v="98000"/>
    <n v="0"/>
    <n v="196000"/>
    <n v="36029.4"/>
    <x v="5"/>
    <s v="Returned"/>
    <x v="2"/>
    <s v="Yes"/>
  </r>
  <r>
    <s v="RIDEZONE BIKE SHOWROOM"/>
    <x v="539"/>
    <x v="127"/>
    <s v="CUST2540"/>
    <s v=" Santhosh R "/>
    <s v="Female"/>
    <n v="44"/>
    <x v="7"/>
    <s v="Tamil Nadu"/>
    <x v="6"/>
    <x v="0"/>
    <n v="1"/>
    <n v="236000"/>
    <n v="10"/>
    <n v="212400"/>
    <n v="10648.09"/>
    <x v="6"/>
    <s v="Completed"/>
    <x v="2"/>
    <s v="No"/>
  </r>
  <r>
    <s v="RIDEZONE BIKE SHOWROOM"/>
    <x v="540"/>
    <x v="357"/>
    <s v="CUST2541"/>
    <s v="Priya S"/>
    <s v="Female"/>
    <n v="32"/>
    <x v="1"/>
    <s v="Tamil Nadu"/>
    <x v="6"/>
    <x v="3"/>
    <n v="1"/>
    <n v="233000"/>
    <n v="7"/>
    <n v="216690"/>
    <n v="15006.15"/>
    <x v="4"/>
    <s v="Returned"/>
    <x v="3"/>
    <s v="No"/>
  </r>
  <r>
    <s v="RIDEZONE BIKE SHOWROOM"/>
    <x v="541"/>
    <x v="358"/>
    <s v="CUST2542"/>
    <s v="Rahul K"/>
    <s v="Female"/>
    <n v="47"/>
    <x v="1"/>
    <s v="Tamil Nadu"/>
    <x v="2"/>
    <x v="2"/>
    <n v="1"/>
    <n v="96000"/>
    <n v="0"/>
    <n v="96000"/>
    <n v="19649.12"/>
    <x v="1"/>
    <s v=" completed "/>
    <x v="1"/>
    <s v="No"/>
  </r>
  <r>
    <s v="RIDEZONE BIKE SHOWROOM"/>
    <x v="542"/>
    <x v="308"/>
    <s v="CUST2543"/>
    <s v="Suresh B"/>
    <s v="Male"/>
    <n v="23"/>
    <x v="3"/>
    <s v="Tamil Nadu"/>
    <x v="7"/>
    <x v="1"/>
    <n v="2"/>
    <n v="171000"/>
    <n v="7"/>
    <n v="318060"/>
    <n v="24308.94"/>
    <x v="6"/>
    <s v="Pending"/>
    <x v="0"/>
    <s v="Yes"/>
  </r>
  <r>
    <s v="RIDEZONE BIKE SHOWROOM"/>
    <x v="543"/>
    <x v="303"/>
    <s v="CUST2544"/>
    <s v="Rahul K"/>
    <s v="Female"/>
    <n v="41"/>
    <x v="3"/>
    <s v="Tamil Nadu"/>
    <x v="0"/>
    <x v="1"/>
    <n v="1"/>
    <n v="95000"/>
    <n v="10"/>
    <n v="85500"/>
    <n v="3513.01"/>
    <x v="6"/>
    <s v="Pending"/>
    <x v="4"/>
    <s v="No"/>
  </r>
  <r>
    <s v="RIDEZONE BIKE SHOWROOM"/>
    <x v="544"/>
    <x v="11"/>
    <s v="CUST2545"/>
    <s v="Suresh B"/>
    <s v="Male"/>
    <n v="49"/>
    <x v="6"/>
    <s v="Tamil Nadu"/>
    <x v="9"/>
    <x v="1"/>
    <n v="1"/>
    <n v="83000"/>
    <n v="10"/>
    <n v="74700"/>
    <n v="7738.67"/>
    <x v="6"/>
    <s v="Returned"/>
    <x v="0"/>
    <s v="No"/>
  </r>
  <r>
    <s v="RIDEZONE BIKE SHOWROOM"/>
    <x v="545"/>
    <x v="38"/>
    <s v="CUST2546"/>
    <s v="Divya M"/>
    <s v="Female"/>
    <n v="29"/>
    <x v="0"/>
    <s v="Tamil Nadu"/>
    <x v="2"/>
    <x v="2"/>
    <n v="1"/>
    <n v="96000"/>
    <n v="3"/>
    <n v="93120"/>
    <n v="17894.2"/>
    <x v="6"/>
    <s v="Completed"/>
    <x v="4"/>
    <s v="Yes"/>
  </r>
  <r>
    <s v="RIDEZONE BIKE SHOWROOM"/>
    <x v="546"/>
    <x v="359"/>
    <s v="CUST2547"/>
    <s v="Priya S"/>
    <s v="Male"/>
    <n v="35"/>
    <x v="2"/>
    <s v="Tamil Nadu"/>
    <x v="8"/>
    <x v="0"/>
    <n v="1"/>
    <n v="125000"/>
    <n v="10"/>
    <n v="112500"/>
    <n v="12385.73"/>
    <x v="1"/>
    <s v="Cancelled"/>
    <x v="4"/>
    <s v="Yes"/>
  </r>
  <r>
    <s v="RIDEZONE BIKE SHOWROOM"/>
    <x v="547"/>
    <x v="311"/>
    <s v="CUST2548"/>
    <s v="Suresh B"/>
    <s v="Female"/>
    <n v="49"/>
    <x v="7"/>
    <s v="Tamil Nadu"/>
    <x v="2"/>
    <x v="3"/>
    <n v="1"/>
    <n v="96000"/>
    <n v="3"/>
    <n v="93120"/>
    <n v="7455.97"/>
    <x v="1"/>
    <s v="Returned"/>
    <x v="3"/>
    <s v="Yes"/>
  </r>
  <r>
    <s v="RIDEZONE BIKE SHOWROOM"/>
    <x v="548"/>
    <x v="360"/>
    <s v="CUST2549"/>
    <s v="Rahul K"/>
    <s v="Female"/>
    <n v="43"/>
    <x v="5"/>
    <s v="Tamil Nadu"/>
    <x v="0"/>
    <x v="2"/>
    <n v="2"/>
    <n v="94000"/>
    <n v="2"/>
    <n v="184240"/>
    <n v="33275.67"/>
    <x v="5"/>
    <s v="Pending"/>
    <x v="5"/>
    <s v="No"/>
  </r>
  <r>
    <s v="RIDEZONE BIKE SHOWROOM"/>
    <x v="549"/>
    <x v="361"/>
    <s v="CUST2550"/>
    <s v="Suresh B"/>
    <s v="Male"/>
    <n v="51"/>
    <x v="3"/>
    <s v="Tamil Nadu"/>
    <x v="2"/>
    <x v="1"/>
    <n v="1"/>
    <n v="100000"/>
    <n v="3"/>
    <n v="97000"/>
    <n v="8525.7800000000007"/>
    <x v="6"/>
    <s v="Pending"/>
    <x v="5"/>
    <s v="No"/>
  </r>
  <r>
    <s v="RIDEZONE BIKE SHOWROOM"/>
    <x v="550"/>
    <x v="218"/>
    <s v="CUST2551"/>
    <s v="Santhosh R"/>
    <s v="Female"/>
    <n v="53"/>
    <x v="3"/>
    <s v="Tamil Nadu"/>
    <x v="1"/>
    <x v="1"/>
    <n v="1"/>
    <n v="115000"/>
    <n v="2"/>
    <n v="112700"/>
    <n v="18558.84"/>
    <x v="5"/>
    <s v="Returned"/>
    <x v="3"/>
    <s v="Yes"/>
  </r>
  <r>
    <s v="RIDEZONE BIKE SHOWROOM"/>
    <x v="551"/>
    <x v="100"/>
    <s v="CUST2552"/>
    <s v="Vignesh P"/>
    <s v="Male"/>
    <n v="47"/>
    <x v="1"/>
    <s v="Tamil Nadu"/>
    <x v="8"/>
    <x v="3"/>
    <n v="2"/>
    <n v="125000"/>
    <n v="2"/>
    <n v="245000"/>
    <n v="38123"/>
    <x v="5"/>
    <s v="Completed"/>
    <x v="0"/>
    <s v="Yes"/>
  </r>
  <r>
    <s v="RIDEZONE BIKE SHOWROOM"/>
    <x v="552"/>
    <x v="362"/>
    <s v="CUST2553"/>
    <s v="Vignesh P"/>
    <s v="Female"/>
    <n v="41"/>
    <x v="6"/>
    <s v="Tamil Nadu"/>
    <x v="7"/>
    <x v="1"/>
    <n v="1"/>
    <n v="169000"/>
    <n v="7"/>
    <n v="157170"/>
    <n v="24515.62"/>
    <x v="4"/>
    <s v="Returned"/>
    <x v="1"/>
    <s v="No"/>
  </r>
  <r>
    <s v="RIDEZONE BIKE SHOWROOM"/>
    <x v="553"/>
    <x v="14"/>
    <s v="CUST2554"/>
    <s v="Karthik Raj"/>
    <s v="Female"/>
    <n v="42"/>
    <x v="2"/>
    <s v="Tamil Nadu"/>
    <x v="4"/>
    <x v="0"/>
    <n v="1"/>
    <n v="124000"/>
    <n v="5"/>
    <n v="117800"/>
    <n v="17601.2"/>
    <x v="5"/>
    <s v="Pending"/>
    <x v="4"/>
    <s v="Yes"/>
  </r>
  <r>
    <s v="RIDEZONE BIKE SHOWROOM"/>
    <x v="554"/>
    <x v="279"/>
    <s v="CUST2555"/>
    <s v="Divya M"/>
    <s v="Female"/>
    <n v="36"/>
    <x v="3"/>
    <s v="Tamil Nadu"/>
    <x v="0"/>
    <x v="2"/>
    <n v="1"/>
    <n v="94000"/>
    <n v="3"/>
    <n v="91180"/>
    <n v="15641.83"/>
    <x v="1"/>
    <s v="Cancelled"/>
    <x v="4"/>
    <s v="No"/>
  </r>
  <r>
    <s v="RIDEZONE BIKE SHOWROOM"/>
    <x v="555"/>
    <x v="171"/>
    <s v="CUST2556"/>
    <s v="Priya S"/>
    <s v="Female"/>
    <n v="50"/>
    <x v="3"/>
    <s v="Tamil Nadu"/>
    <x v="7"/>
    <x v="2"/>
    <n v="1"/>
    <n v="170000"/>
    <n v="5"/>
    <n v="161500"/>
    <n v="12134.03"/>
    <x v="3"/>
    <s v="Pending"/>
    <x v="2"/>
    <s v="Yes"/>
  </r>
  <r>
    <s v="RIDEZONE BIKE SHOWROOM"/>
    <x v="556"/>
    <x v="363"/>
    <s v="CUST2557"/>
    <s v=" Vignesh P "/>
    <s v="Female"/>
    <n v="32"/>
    <x v="6"/>
    <s v="Tamil Nadu"/>
    <x v="1"/>
    <x v="2"/>
    <n v="1"/>
    <n v="115000"/>
    <n v="3"/>
    <n v="111550"/>
    <n v="10921.57"/>
    <x v="2"/>
    <s v="Returned"/>
    <x v="5"/>
    <s v="Yes"/>
  </r>
  <r>
    <s v="RIDEZONE BIKE SHOWROOM"/>
    <x v="557"/>
    <x v="140"/>
    <s v="CUST2558"/>
    <s v="Rahul K"/>
    <s v="Female"/>
    <n v="51"/>
    <x v="5"/>
    <s v="Tamil Nadu"/>
    <x v="4"/>
    <x v="2"/>
    <n v="1"/>
    <n v="124000"/>
    <n v="3"/>
    <n v="120280"/>
    <n v="9522.89"/>
    <x v="4"/>
    <s v="Returned"/>
    <x v="3"/>
    <s v="No"/>
  </r>
  <r>
    <s v="RIDEZONE BIKE SHOWROOM"/>
    <x v="558"/>
    <x v="364"/>
    <s v="CUST2559"/>
    <s v="Rahul K"/>
    <s v="Female"/>
    <n v="29"/>
    <x v="2"/>
    <s v="Tamil Nadu"/>
    <x v="1"/>
    <x v="1"/>
    <n v="1"/>
    <n v="113000"/>
    <n v="7"/>
    <n v="105090"/>
    <n v="6300.55"/>
    <x v="3"/>
    <s v="Returned"/>
    <x v="4"/>
    <s v="No"/>
  </r>
  <r>
    <s v="RIDEZONE BIKE SHOWROOM"/>
    <x v="559"/>
    <x v="365"/>
    <s v="CUST2560"/>
    <s v="Priya S"/>
    <s v="Male"/>
    <n v="0"/>
    <x v="6"/>
    <s v="Tamil Nadu"/>
    <x v="4"/>
    <x v="2"/>
    <n v="1"/>
    <n v="126000"/>
    <n v="5"/>
    <n v="119700"/>
    <n v="11758.27"/>
    <x v="5"/>
    <s v="Returned"/>
    <x v="4"/>
    <s v="Yes"/>
  </r>
  <r>
    <s v="RIDEZONE BIKE SHOWROOM"/>
    <x v="560"/>
    <x v="55"/>
    <s v="CUST2561"/>
    <s v="Karthik Raj"/>
    <s v="Female"/>
    <n v="53"/>
    <x v="8"/>
    <s v="Tamil Nadu"/>
    <x v="8"/>
    <x v="0"/>
    <n v="2"/>
    <n v="125000"/>
    <n v="3"/>
    <n v="242500"/>
    <n v="41323.230000000003"/>
    <x v="6"/>
    <s v="Completed"/>
    <x v="0"/>
    <s v="No"/>
  </r>
  <r>
    <s v="RIDEZONE BIKE SHOWROOM"/>
    <x v="561"/>
    <x v="117"/>
    <s v="CUST2562"/>
    <s v="Vignesh P"/>
    <s v="Male"/>
    <n v="24"/>
    <x v="7"/>
    <s v="Tamil Nadu"/>
    <x v="5"/>
    <x v="2"/>
    <n v="1"/>
    <n v="193000"/>
    <n v="2"/>
    <n v="189140"/>
    <n v="26175.75"/>
    <x v="3"/>
    <s v="Cancelled"/>
    <x v="2"/>
    <s v="No"/>
  </r>
  <r>
    <s v="RIDEZONE BIKE SHOWROOM"/>
    <x v="562"/>
    <x v="42"/>
    <s v="CUST2563"/>
    <s v="Arun Kumar"/>
    <s v="Male"/>
    <n v="32"/>
    <x v="2"/>
    <s v="Tamil Nadu"/>
    <x v="2"/>
    <x v="1"/>
    <n v="1"/>
    <n v="99000"/>
    <n v="10"/>
    <n v="89100"/>
    <n v="3744.15"/>
    <x v="6"/>
    <s v="Returned"/>
    <x v="5"/>
    <s v="Yes"/>
  </r>
  <r>
    <s v="RIDEZONE BIKE SHOWROOM"/>
    <x v="563"/>
    <x v="22"/>
    <s v="CUST2564"/>
    <s v="Divya M"/>
    <s v="Female"/>
    <n v="25"/>
    <x v="3"/>
    <s v="Tamil Nadu"/>
    <x v="1"/>
    <x v="3"/>
    <n v="2"/>
    <n v="115000"/>
    <n v="5"/>
    <n v="218500"/>
    <n v="26329.61"/>
    <x v="5"/>
    <s v="Returned"/>
    <x v="5"/>
    <s v="Yes"/>
  </r>
  <r>
    <s v="RIDEZONE BIKE SHOWROOM"/>
    <x v="564"/>
    <x v="83"/>
    <s v="CUST2565"/>
    <s v="Karthik Raj"/>
    <s v="Female"/>
    <n v="31"/>
    <x v="1"/>
    <s v="Tamil Nadu"/>
    <x v="5"/>
    <x v="0"/>
    <n v="1"/>
    <n v="196000"/>
    <n v="10"/>
    <n v="176400"/>
    <n v="13357.56"/>
    <x v="3"/>
    <s v="Pending"/>
    <x v="1"/>
    <s v="No"/>
  </r>
  <r>
    <s v="RIDEZONE BIKE SHOWROOM"/>
    <x v="565"/>
    <x v="342"/>
    <s v="CUST2566"/>
    <s v="Karthik Raj"/>
    <s v="Female"/>
    <n v="24"/>
    <x v="1"/>
    <s v="Tamil Nadu"/>
    <x v="0"/>
    <x v="1"/>
    <n v="2"/>
    <n v="95000"/>
    <n v="7"/>
    <n v="176700"/>
    <n v="25735.94"/>
    <x v="2"/>
    <s v="Pending"/>
    <x v="1"/>
    <s v="Yes"/>
  </r>
  <r>
    <s v="RIDEZONE BIKE SHOWROOM"/>
    <x v="566"/>
    <x v="148"/>
    <s v="CUST2567"/>
    <s v="Rahul K"/>
    <s v="Female"/>
    <n v="44"/>
    <x v="0"/>
    <s v="Tamil Nadu"/>
    <x v="1"/>
    <x v="2"/>
    <n v="1"/>
    <n v="113000"/>
    <n v="10"/>
    <n v="101700"/>
    <n v="4142.7700000000004"/>
    <x v="4"/>
    <s v="Completed"/>
    <x v="4"/>
    <s v="No"/>
  </r>
  <r>
    <s v="RIDEZONE BIKE SHOWROOM"/>
    <x v="567"/>
    <x v="366"/>
    <s v="CUST2568"/>
    <s v="Suresh B"/>
    <s v="Female"/>
    <n v="25"/>
    <x v="5"/>
    <s v="Tamil Nadu"/>
    <x v="0"/>
    <x v="2"/>
    <n v="1"/>
    <n v="97000"/>
    <n v="5"/>
    <n v="92150"/>
    <n v="10847.4"/>
    <x v="2"/>
    <s v="Cancelled"/>
    <x v="0"/>
    <s v="Yes"/>
  </r>
  <r>
    <s v="RIDEZONE BIKE SHOWROOM"/>
    <x v="568"/>
    <x v="137"/>
    <s v="CUST2569"/>
    <s v="Arun Kumar"/>
    <s v="Female"/>
    <n v="24"/>
    <x v="8"/>
    <s v="Tamil Nadu"/>
    <x v="9"/>
    <x v="2"/>
    <n v="1"/>
    <n v="83000"/>
    <n v="7"/>
    <n v="77190"/>
    <n v="5065.1899999999996"/>
    <x v="2"/>
    <s v="Cancelled"/>
    <x v="0"/>
    <s v="Yes"/>
  </r>
  <r>
    <s v="RIDEZONE BIKE SHOWROOM"/>
    <x v="569"/>
    <x v="367"/>
    <s v="CUST2570"/>
    <s v="Divya M"/>
    <s v="Female"/>
    <n v="44"/>
    <x v="1"/>
    <s v="Tamil Nadu"/>
    <x v="9"/>
    <x v="0"/>
    <n v="1"/>
    <n v="83000"/>
    <n v="10"/>
    <n v="74700"/>
    <n v="1877.34"/>
    <x v="5"/>
    <s v="Completed"/>
    <x v="2"/>
    <s v="Yes"/>
  </r>
  <r>
    <s v="RIDEZONE BIKE SHOWROOM"/>
    <x v="570"/>
    <x v="368"/>
    <s v="CUST2571"/>
    <s v="Rahul K"/>
    <s v="Male"/>
    <n v="20"/>
    <x v="3"/>
    <s v="Tamil Nadu"/>
    <x v="8"/>
    <x v="0"/>
    <n v="2"/>
    <n v="124000"/>
    <n v="0"/>
    <n v="248000"/>
    <n v="54082.7"/>
    <x v="3"/>
    <s v="Completed"/>
    <x v="3"/>
    <s v="Yes"/>
  </r>
  <r>
    <s v="RIDEZONE BIKE SHOWROOM"/>
    <x v="571"/>
    <x v="190"/>
    <s v="CUST2572"/>
    <s v="Vignesh P"/>
    <s v="Female"/>
    <n v="33"/>
    <x v="0"/>
    <s v="Tamil Nadu"/>
    <x v="2"/>
    <x v="0"/>
    <n v="1"/>
    <n v="96000"/>
    <n v="3"/>
    <n v="93120"/>
    <n v="14522.73"/>
    <x v="3"/>
    <s v="Pending"/>
    <x v="4"/>
    <s v="No"/>
  </r>
  <r>
    <s v="RIDEZONE BIKE SHOWROOM"/>
    <x v="572"/>
    <x v="75"/>
    <s v="CUST2573"/>
    <s v=" Suresh B "/>
    <s v="Male"/>
    <n v="49"/>
    <x v="5"/>
    <s v="Tamil Nadu"/>
    <x v="4"/>
    <x v="3"/>
    <n v="1"/>
    <n v="127000"/>
    <n v="3"/>
    <n v="123190"/>
    <n v="23947.4"/>
    <x v="6"/>
    <s v="Completed"/>
    <x v="4"/>
    <s v="Yes"/>
  </r>
  <r>
    <s v="RIDEZONE BIKE SHOWROOM"/>
    <x v="573"/>
    <x v="369"/>
    <s v="CUST2574"/>
    <s v="Divya M"/>
    <s v="Male"/>
    <n v="30"/>
    <x v="2"/>
    <s v="Tamil Nadu"/>
    <x v="5"/>
    <x v="3"/>
    <n v="1"/>
    <n v="195000"/>
    <n v="0"/>
    <n v="195000"/>
    <n v="26226.77"/>
    <x v="4"/>
    <s v="Pending"/>
    <x v="1"/>
    <s v="Yes"/>
  </r>
  <r>
    <s v="RIDEZONE BIKE SHOWROOM"/>
    <x v="574"/>
    <x v="370"/>
    <s v="CUST2575"/>
    <s v="Suresh B"/>
    <s v="Male"/>
    <n v="44"/>
    <x v="6"/>
    <s v="Tamil Nadu"/>
    <x v="4"/>
    <x v="2"/>
    <n v="1"/>
    <n v="123000"/>
    <n v="7"/>
    <n v="114390"/>
    <n v="4987.3599999999997"/>
    <x v="5"/>
    <s v="Completed"/>
    <x v="1"/>
    <s v="Yes"/>
  </r>
  <r>
    <s v="RIDEZONE BIKE SHOWROOM"/>
    <x v="575"/>
    <x v="228"/>
    <s v="CUST2576"/>
    <s v="Priya S"/>
    <s v="Female"/>
    <n v="32"/>
    <x v="1"/>
    <s v="Tamil Nadu"/>
    <x v="5"/>
    <x v="2"/>
    <n v="1"/>
    <n v="193000"/>
    <n v="2"/>
    <n v="189140"/>
    <n v="29926.03"/>
    <x v="0"/>
    <s v="Pending"/>
    <x v="3"/>
    <s v="No"/>
  </r>
  <r>
    <s v="RIDEZONE BIKE SHOWROOM"/>
    <x v="576"/>
    <x v="346"/>
    <s v="CUST2577"/>
    <s v="Arun Kumar"/>
    <s v="Male"/>
    <n v="38"/>
    <x v="5"/>
    <s v="Tamil Nadu"/>
    <x v="4"/>
    <x v="3"/>
    <n v="1"/>
    <n v="127000"/>
    <n v="0"/>
    <n v="127000"/>
    <n v="20001.900000000001"/>
    <x v="6"/>
    <s v="Pending"/>
    <x v="0"/>
    <s v="Yes"/>
  </r>
  <r>
    <s v="RIDEZONE BIKE SHOWROOM"/>
    <x v="577"/>
    <x v="21"/>
    <s v="CUST2578"/>
    <s v="Karthik Raj"/>
    <s v="Female"/>
    <n v="20"/>
    <x v="1"/>
    <s v="Tamil Nadu"/>
    <x v="8"/>
    <x v="0"/>
    <n v="1"/>
    <n v="125000"/>
    <n v="0"/>
    <n v="116250"/>
    <n v="13925.45"/>
    <x v="3"/>
    <s v="Completed"/>
    <x v="3"/>
    <s v="Yes"/>
  </r>
  <r>
    <s v="RIDEZONE BIKE SHOWROOM"/>
    <x v="578"/>
    <x v="135"/>
    <s v="CUST2579"/>
    <s v="Karthik Raj"/>
    <s v="Female"/>
    <n v="35"/>
    <x v="5"/>
    <s v="Tamil Nadu"/>
    <x v="8"/>
    <x v="1"/>
    <n v="1"/>
    <n v="126000"/>
    <n v="7"/>
    <n v="117180"/>
    <n v="6331.94"/>
    <x v="5"/>
    <s v="Pending"/>
    <x v="3"/>
    <s v="Yes"/>
  </r>
  <r>
    <s v="RIDEZONE BIKE SHOWROOM"/>
    <x v="579"/>
    <x v="370"/>
    <s v="CUST2580"/>
    <s v=" Divya M "/>
    <s v="Female"/>
    <n v="32"/>
    <x v="9"/>
    <s v="Tamil Nadu"/>
    <x v="8"/>
    <x v="0"/>
    <n v="1"/>
    <n v="124000"/>
    <n v="3"/>
    <n v="120280"/>
    <n v="19313.95"/>
    <x v="6"/>
    <s v="Returned"/>
    <x v="2"/>
    <s v="Yes"/>
  </r>
  <r>
    <s v="RIDEZONE BIKE SHOWROOM"/>
    <x v="580"/>
    <x v="371"/>
    <s v="CUST2581"/>
    <s v="Arun Kumar"/>
    <s v="Female"/>
    <n v="50"/>
    <x v="6"/>
    <s v="Tamil Nadu"/>
    <x v="3"/>
    <x v="1"/>
    <n v="1"/>
    <n v="176000"/>
    <n v="10"/>
    <n v="158400"/>
    <n v="11965.95"/>
    <x v="6"/>
    <s v="Cancelled"/>
    <x v="5"/>
    <s v="Yes"/>
  </r>
  <r>
    <s v="RIDEZONE BIKE SHOWROOM"/>
    <x v="581"/>
    <x v="372"/>
    <s v="CUST2582"/>
    <s v="Santhosh R"/>
    <s v="Male"/>
    <n v="55"/>
    <x v="5"/>
    <s v="Tamil Nadu"/>
    <x v="1"/>
    <x v="3"/>
    <n v="1"/>
    <n v="115000"/>
    <n v="3"/>
    <n v="111550"/>
    <n v="15590.28"/>
    <x v="1"/>
    <s v="Returned"/>
    <x v="0"/>
    <s v="Yes"/>
  </r>
  <r>
    <s v="RIDEZONE BIKE SHOWROOM"/>
    <x v="582"/>
    <x v="334"/>
    <s v="CUST2583"/>
    <s v="Vignesh P"/>
    <s v="Female"/>
    <n v="45"/>
    <x v="0"/>
    <s v="Tamil Nadu"/>
    <x v="8"/>
    <x v="3"/>
    <n v="1"/>
    <n v="126000"/>
    <n v="10"/>
    <n v="113400"/>
    <n v="4152.78"/>
    <x v="4"/>
    <s v="Returned"/>
    <x v="1"/>
    <s v="Yes"/>
  </r>
  <r>
    <s v="RIDEZONE BIKE SHOWROOM"/>
    <x v="583"/>
    <x v="373"/>
    <s v="CUST2584"/>
    <s v="Vignesh P"/>
    <s v="Female"/>
    <n v="32"/>
    <x v="0"/>
    <s v="Tamil Nadu"/>
    <x v="5"/>
    <x v="3"/>
    <n v="3"/>
    <n v="193000"/>
    <n v="5"/>
    <n v="550050"/>
    <n v="33665.64"/>
    <x v="2"/>
    <s v="Cancelled"/>
    <x v="3"/>
    <s v="Yes"/>
  </r>
  <r>
    <s v="RIDEZONE BIKE SHOWROOM"/>
    <x v="584"/>
    <x v="374"/>
    <s v="CUST2585"/>
    <s v="Priya S"/>
    <s v="Female"/>
    <n v="21"/>
    <x v="7"/>
    <s v="Tamil Nadu"/>
    <x v="5"/>
    <x v="1"/>
    <n v="1"/>
    <n v="194000"/>
    <n v="5"/>
    <n v="184300"/>
    <n v="32176.66"/>
    <x v="1"/>
    <s v="Cancelled"/>
    <x v="0"/>
    <s v="Yes"/>
  </r>
  <r>
    <s v="RIDEZONE BIKE SHOWROOM"/>
    <x v="585"/>
    <x v="375"/>
    <s v="CUST2586"/>
    <s v="Suresh B"/>
    <s v="Female"/>
    <n v="25"/>
    <x v="8"/>
    <s v="Tamil Nadu"/>
    <x v="9"/>
    <x v="2"/>
    <n v="1"/>
    <n v="87000"/>
    <n v="10"/>
    <n v="78300"/>
    <n v="867.74"/>
    <x v="4"/>
    <s v="Cancelled"/>
    <x v="3"/>
    <s v="No"/>
  </r>
  <r>
    <s v="RIDEZONE BIKE SHOWROOM"/>
    <x v="586"/>
    <x v="376"/>
    <s v="CUST2587"/>
    <s v="Rahul K"/>
    <s v="Male"/>
    <n v="26"/>
    <x v="7"/>
    <s v="Tamil Nadu"/>
    <x v="1"/>
    <x v="3"/>
    <n v="1"/>
    <n v="117000"/>
    <n v="5"/>
    <n v="111150"/>
    <n v="9325.43"/>
    <x v="3"/>
    <s v="Returned"/>
    <x v="3"/>
    <s v="No"/>
  </r>
  <r>
    <s v="RIDEZONE BIKE SHOWROOM"/>
    <x v="587"/>
    <x v="377"/>
    <s v="CUST2588"/>
    <s v="Vignesh P"/>
    <s v="Female"/>
    <n v="53"/>
    <x v="5"/>
    <s v="Tamil Nadu"/>
    <x v="9"/>
    <x v="1"/>
    <n v="1"/>
    <n v="83000"/>
    <n v="0"/>
    <n v="83000"/>
    <n v="17564.38"/>
    <x v="1"/>
    <s v="Pending"/>
    <x v="1"/>
    <s v="Yes"/>
  </r>
  <r>
    <s v="RIDEZONE BIKE SHOWROOM"/>
    <x v="588"/>
    <x v="75"/>
    <s v="CUST2589"/>
    <s v="Suresh B"/>
    <s v="Male"/>
    <n v="31"/>
    <x v="1"/>
    <s v="Tamil Nadu"/>
    <x v="2"/>
    <x v="2"/>
    <n v="1"/>
    <n v="99000"/>
    <n v="0"/>
    <n v="99000"/>
    <n v="16426.150000000001"/>
    <x v="3"/>
    <s v="Cancelled"/>
    <x v="2"/>
    <s v="No"/>
  </r>
  <r>
    <s v="RIDEZONE BIKE SHOWROOM"/>
    <x v="589"/>
    <x v="265"/>
    <s v="CUST2590"/>
    <s v="Divya M"/>
    <s v="Male"/>
    <n v="27"/>
    <x v="8"/>
    <s v="Tamil Nadu"/>
    <x v="6"/>
    <x v="3"/>
    <n v="2"/>
    <n v="234000"/>
    <n v="0"/>
    <n v="468000"/>
    <n v="86498.07"/>
    <x v="8"/>
    <s v="Pending"/>
    <x v="2"/>
    <s v="No"/>
  </r>
  <r>
    <s v="RIDEZONE BIKE SHOWROOM"/>
    <x v="590"/>
    <x v="345"/>
    <s v="CUST2591"/>
    <s v="Suresh B"/>
    <s v="Male"/>
    <n v="26"/>
    <x v="0"/>
    <s v="Tamil Nadu"/>
    <x v="0"/>
    <x v="1"/>
    <n v="1"/>
    <n v="93000"/>
    <n v="10"/>
    <n v="83700"/>
    <n v="4659.91"/>
    <x v="5"/>
    <s v="Returned"/>
    <x v="2"/>
    <s v="No"/>
  </r>
  <r>
    <s v="RIDEZONE BIKE SHOWROOM"/>
    <x v="591"/>
    <x v="378"/>
    <s v="CUST2592"/>
    <s v="Vignesh P"/>
    <s v="Female"/>
    <n v="43"/>
    <x v="7"/>
    <s v="Tamil Nadu"/>
    <x v="6"/>
    <x v="0"/>
    <n v="1"/>
    <n v="237000"/>
    <n v="3"/>
    <n v="229890"/>
    <n v="16605.78"/>
    <x v="6"/>
    <s v="Cancelled"/>
    <x v="4"/>
    <s v="Yes"/>
  </r>
  <r>
    <s v="RIDEZONE BIKE SHOWROOM"/>
    <x v="592"/>
    <x v="379"/>
    <s v="CUST2593"/>
    <s v="Suresh B"/>
    <s v="Female"/>
    <n v="37"/>
    <x v="7"/>
    <s v="Tamil Nadu"/>
    <x v="3"/>
    <x v="1"/>
    <n v="1"/>
    <n v="174000"/>
    <n v="0"/>
    <n v="174000"/>
    <n v="25712.14"/>
    <x v="2"/>
    <s v="Returned"/>
    <x v="3"/>
    <s v="Yes"/>
  </r>
  <r>
    <s v="RIDEZONE BIKE SHOWROOM"/>
    <x v="593"/>
    <x v="252"/>
    <s v="CUST2594"/>
    <s v="Suresh B"/>
    <s v="Female"/>
    <n v="48"/>
    <x v="3"/>
    <s v="Tamil Nadu"/>
    <x v="9"/>
    <x v="1"/>
    <n v="1"/>
    <n v="85000"/>
    <n v="0"/>
    <n v="85000"/>
    <n v="8810.1"/>
    <x v="6"/>
    <s v="Cancelled"/>
    <x v="2"/>
    <s v="No"/>
  </r>
  <r>
    <s v="RIDEZONE BIKE SHOWROOM"/>
    <x v="594"/>
    <x v="327"/>
    <s v="CUST2595"/>
    <s v=" Arun Kumar "/>
    <s v="Male"/>
    <n v="52"/>
    <x v="7"/>
    <s v="Tamil Nadu"/>
    <x v="0"/>
    <x v="1"/>
    <n v="0"/>
    <n v="94000"/>
    <n v="10"/>
    <n v="84600"/>
    <n v="9665.14"/>
    <x v="6"/>
    <s v="Cancelled"/>
    <x v="3"/>
    <s v="No"/>
  </r>
  <r>
    <s v="RIDEZONE BIKE SHOWROOM"/>
    <x v="595"/>
    <x v="41"/>
    <s v="CUST2596"/>
    <s v="Priya S"/>
    <s v="Male"/>
    <n v="33"/>
    <x v="6"/>
    <s v="Tamil Nadu"/>
    <x v="2"/>
    <x v="0"/>
    <n v="2"/>
    <n v="98000"/>
    <n v="10"/>
    <n v="176400"/>
    <n v="10803.49"/>
    <x v="4"/>
    <s v="Completed"/>
    <x v="0"/>
    <s v="No"/>
  </r>
  <r>
    <s v="RIDEZONE BIKE SHOWROOM"/>
    <x v="596"/>
    <x v="380"/>
    <s v="CUST2597"/>
    <s v="Santhosh R"/>
    <s v="Male"/>
    <n v="28"/>
    <x v="2"/>
    <s v="Tamil Nadu"/>
    <x v="5"/>
    <x v="3"/>
    <n v="1"/>
    <n v="195000"/>
    <n v="10"/>
    <n v="175500"/>
    <n v="12254.53"/>
    <x v="3"/>
    <s v=" completed "/>
    <x v="3"/>
    <s v="No"/>
  </r>
  <r>
    <s v="RIDEZONE BIKE SHOWROOM"/>
    <x v="597"/>
    <x v="130"/>
    <s v="CUST2598"/>
    <s v="Karthik Raj"/>
    <s v="Female"/>
    <n v="36"/>
    <x v="7"/>
    <s v="Tamil Nadu"/>
    <x v="5"/>
    <x v="0"/>
    <n v="1"/>
    <n v="196000"/>
    <n v="5"/>
    <n v="186200"/>
    <n v="14305.32"/>
    <x v="6"/>
    <s v="Completed"/>
    <x v="1"/>
    <s v="Yes"/>
  </r>
  <r>
    <s v="RIDEZONE BIKE SHOWROOM"/>
    <x v="598"/>
    <x v="381"/>
    <s v="CUST2599"/>
    <s v="Arun Kumar"/>
    <s v="Male"/>
    <n v="39"/>
    <x v="3"/>
    <s v="Tamil Nadu"/>
    <x v="0"/>
    <x v="1"/>
    <n v="1"/>
    <n v="95000"/>
    <n v="5"/>
    <n v="90250"/>
    <n v="9573.15"/>
    <x v="0"/>
    <s v="Cancelled"/>
    <x v="1"/>
    <s v="Yes"/>
  </r>
  <r>
    <s v="RIDEZONE BIKE SHOWROOM"/>
    <x v="599"/>
    <x v="18"/>
    <s v="CUST2600"/>
    <s v="Divya M"/>
    <s v="Male"/>
    <n v="29"/>
    <x v="1"/>
    <s v="Tamil Nadu"/>
    <x v="1"/>
    <x v="1"/>
    <n v="1"/>
    <n v="113000"/>
    <n v="7"/>
    <n v="105090"/>
    <n v="5391.97"/>
    <x v="2"/>
    <s v="Pending"/>
    <x v="5"/>
    <s v="No"/>
  </r>
  <r>
    <s v="RIDEZONE BIKE SHOWROOM"/>
    <x v="600"/>
    <x v="380"/>
    <s v="CUST2601"/>
    <s v="Santhosh R"/>
    <s v="Male"/>
    <n v="37"/>
    <x v="0"/>
    <s v="Tamil Nadu"/>
    <x v="2"/>
    <x v="1"/>
    <n v="1"/>
    <n v="98000"/>
    <n v="7"/>
    <n v="91140"/>
    <n v="3053.66"/>
    <x v="5"/>
    <s v="Returned"/>
    <x v="4"/>
    <s v="No"/>
  </r>
  <r>
    <s v="RIDEZONE BIKE SHOWROOM"/>
    <x v="601"/>
    <x v="328"/>
    <s v="CUST2602"/>
    <s v="Vignesh P"/>
    <s v="Female"/>
    <n v="51"/>
    <x v="1"/>
    <s v="Tamil Nadu"/>
    <x v="2"/>
    <x v="2"/>
    <n v="1"/>
    <n v="97000"/>
    <n v="10"/>
    <n v="87300"/>
    <n v="3076.15"/>
    <x v="5"/>
    <s v="Returned"/>
    <x v="1"/>
    <s v="No"/>
  </r>
  <r>
    <s v="RIDEZONE BIKE SHOWROOM"/>
    <x v="602"/>
    <x v="382"/>
    <s v="CUST2603"/>
    <s v="Suresh B"/>
    <s v="Female"/>
    <n v="38"/>
    <x v="3"/>
    <s v="Tamil Nadu"/>
    <x v="3"/>
    <x v="0"/>
    <n v="1"/>
    <n v="175000"/>
    <n v="0"/>
    <n v="175000"/>
    <n v="27415.27"/>
    <x v="1"/>
    <s v="Cancelled"/>
    <x v="5"/>
    <s v="Yes"/>
  </r>
  <r>
    <s v="RIDEZONE BIKE SHOWROOM"/>
    <x v="603"/>
    <x v="383"/>
    <s v="CUST2604"/>
    <s v="Priya S"/>
    <s v="Male"/>
    <n v="38"/>
    <x v="6"/>
    <s v="Tamil Nadu"/>
    <x v="7"/>
    <x v="2"/>
    <n v="1"/>
    <n v="171000"/>
    <n v="2"/>
    <n v="167580"/>
    <n v="25132.55"/>
    <x v="3"/>
    <s v="Completed"/>
    <x v="1"/>
    <s v="Yes"/>
  </r>
  <r>
    <s v="RIDEZONE BIKE SHOWROOM"/>
    <x v="604"/>
    <x v="320"/>
    <s v="CUST2605"/>
    <s v="Rahul K"/>
    <s v="Female"/>
    <n v="26"/>
    <x v="7"/>
    <s v="Tamil Nadu"/>
    <x v="2"/>
    <x v="2"/>
    <n v="2"/>
    <n v="98000"/>
    <n v="10"/>
    <n v="176400"/>
    <n v="3724.15"/>
    <x v="5"/>
    <s v="Completed"/>
    <x v="5"/>
    <s v="No"/>
  </r>
  <r>
    <s v="RIDEZONE BIKE SHOWROOM"/>
    <x v="605"/>
    <x v="263"/>
    <s v="CUST2606"/>
    <s v="Suresh B"/>
    <s v="Female"/>
    <n v="27"/>
    <x v="7"/>
    <s v="Tamil Nadu"/>
    <x v="6"/>
    <x v="1"/>
    <n v="2"/>
    <n v="237000"/>
    <n v="10"/>
    <n v="426600"/>
    <n v="33900.82"/>
    <x v="5"/>
    <s v="Pending"/>
    <x v="3"/>
    <s v="No"/>
  </r>
  <r>
    <s v="RIDEZONE BIKE SHOWROOM"/>
    <x v="606"/>
    <x v="104"/>
    <s v="CUST2607"/>
    <s v="Arun Kumar"/>
    <s v="Male"/>
    <n v="43"/>
    <x v="6"/>
    <s v="Tamil Nadu"/>
    <x v="0"/>
    <x v="0"/>
    <n v="2"/>
    <n v="97000"/>
    <n v="5"/>
    <n v="184300"/>
    <n v="26572.97"/>
    <x v="6"/>
    <s v="Completed"/>
    <x v="2"/>
    <s v="Yes"/>
  </r>
  <r>
    <s v="RIDEZONE BIKE SHOWROOM"/>
    <x v="607"/>
    <x v="384"/>
    <s v="CUST2608"/>
    <s v="Santhosh R"/>
    <s v="Female"/>
    <n v="44"/>
    <x v="6"/>
    <s v="Tamil Nadu"/>
    <x v="9"/>
    <x v="3"/>
    <n v="1"/>
    <n v="87000"/>
    <n v="0"/>
    <n v="87000"/>
    <n v="10847.05"/>
    <x v="1"/>
    <s v="Completed"/>
    <x v="1"/>
    <s v="Yes"/>
  </r>
  <r>
    <s v="RIDEZONE BIKE SHOWROOM"/>
    <x v="608"/>
    <x v="154"/>
    <s v="CUST2609"/>
    <s v="Santhosh R"/>
    <s v="Male"/>
    <n v="53"/>
    <x v="10"/>
    <s v="Tamil Nadu"/>
    <x v="1"/>
    <x v="0"/>
    <n v="1"/>
    <n v="117000"/>
    <n v="0"/>
    <n v="117000"/>
    <n v="20211.099999999999"/>
    <x v="3"/>
    <s v="Completed"/>
    <x v="0"/>
    <s v="Yes"/>
  </r>
  <r>
    <s v="RIDEZONE BIKE SHOWROOM"/>
    <x v="609"/>
    <x v="385"/>
    <s v="CUST2610"/>
    <s v="Karthik Raj"/>
    <s v="Female"/>
    <n v="30"/>
    <x v="6"/>
    <s v="Tamil Nadu"/>
    <x v="9"/>
    <x v="0"/>
    <n v="1"/>
    <n v="83000"/>
    <n v="0"/>
    <n v="83000"/>
    <n v="16976.990000000002"/>
    <x v="6"/>
    <s v="Completed"/>
    <x v="5"/>
    <s v="No"/>
  </r>
  <r>
    <s v="RIDEZONE BIKE SHOWROOM"/>
    <x v="610"/>
    <x v="141"/>
    <s v="CUST2611"/>
    <s v="Divya M"/>
    <s v="Female"/>
    <n v="53"/>
    <x v="5"/>
    <s v="Tamil Nadu"/>
    <x v="4"/>
    <x v="2"/>
    <n v="1"/>
    <n v="127000"/>
    <n v="0"/>
    <n v="127000"/>
    <n v="24155.34"/>
    <x v="2"/>
    <s v="Cancelled"/>
    <x v="5"/>
    <s v="No"/>
  </r>
  <r>
    <s v="RIDEZONE BIKE SHOWROOM"/>
    <x v="611"/>
    <x v="261"/>
    <s v="CUST2612"/>
    <s v="Divya M"/>
    <s v="Male"/>
    <n v="29"/>
    <x v="1"/>
    <s v="Tamil Nadu"/>
    <x v="6"/>
    <x v="2"/>
    <n v="1"/>
    <n v="237000"/>
    <n v="0"/>
    <n v="237000"/>
    <n v="45396.87"/>
    <x v="3"/>
    <s v="Cancelled"/>
    <x v="1"/>
    <s v="Yes"/>
  </r>
  <r>
    <s v="RIDEZONE BIKE SHOWROOM"/>
    <x v="612"/>
    <x v="386"/>
    <s v="CUST2613"/>
    <s v="Santhosh R"/>
    <s v="Male"/>
    <n v="45"/>
    <x v="7"/>
    <s v="Tamil Nadu"/>
    <x v="6"/>
    <x v="3"/>
    <n v="1"/>
    <n v="235000"/>
    <n v="3"/>
    <n v="227950"/>
    <n v="33883.74"/>
    <x v="4"/>
    <s v="Pending"/>
    <x v="5"/>
    <s v="Yes"/>
  </r>
  <r>
    <s v="RIDEZONE BIKE SHOWROOM"/>
    <x v="613"/>
    <x v="74"/>
    <s v="CUST2614"/>
    <s v="Priya S"/>
    <s v="Female"/>
    <n v="52"/>
    <x v="2"/>
    <s v="Tamil Nadu"/>
    <x v="0"/>
    <x v="2"/>
    <n v="3"/>
    <n v="97000"/>
    <n v="10"/>
    <n v="261900"/>
    <n v="28193.45"/>
    <x v="6"/>
    <s v="Returned"/>
    <x v="2"/>
    <s v="Yes"/>
  </r>
  <r>
    <s v="RIDEZONE BIKE SHOWROOM"/>
    <x v="614"/>
    <x v="260"/>
    <s v="CUST2615"/>
    <s v="Karthik Raj"/>
    <s v="Female"/>
    <n v="46"/>
    <x v="1"/>
    <s v="Tamil Nadu"/>
    <x v="6"/>
    <x v="0"/>
    <n v="1"/>
    <n v="233000"/>
    <n v="7"/>
    <n v="216690"/>
    <n v="31874.68"/>
    <x v="6"/>
    <s v="Cancelled"/>
    <x v="1"/>
    <s v="Yes"/>
  </r>
  <r>
    <s v="RIDEZONE BIKE SHOWROOM"/>
    <x v="615"/>
    <x v="387"/>
    <s v="CUST2616"/>
    <s v="Priya S"/>
    <s v="Female"/>
    <n v="27"/>
    <x v="2"/>
    <s v="Tamil Nadu"/>
    <x v="8"/>
    <x v="1"/>
    <n v="1"/>
    <n v="125000"/>
    <n v="2"/>
    <n v="122500"/>
    <n v="19320.509999999998"/>
    <x v="6"/>
    <s v="Cancelled"/>
    <x v="3"/>
    <s v="No"/>
  </r>
  <r>
    <s v="RIDEZONE BIKE SHOWROOM"/>
    <x v="616"/>
    <x v="142"/>
    <s v="CUST2617"/>
    <s v="Rahul K"/>
    <s v="Female"/>
    <n v="31"/>
    <x v="2"/>
    <s v="Tamil Nadu"/>
    <x v="1"/>
    <x v="1"/>
    <n v="1"/>
    <n v="113000"/>
    <n v="2"/>
    <n v="110740"/>
    <n v="18287.97"/>
    <x v="1"/>
    <s v="Cancelled"/>
    <x v="4"/>
    <s v="Yes"/>
  </r>
  <r>
    <s v="RIDEZONE BIKE SHOWROOM"/>
    <x v="617"/>
    <x v="388"/>
    <s v="CUST2618"/>
    <s v="Vignesh P"/>
    <s v="Female"/>
    <n v="35"/>
    <x v="5"/>
    <s v="Tamil Nadu"/>
    <x v="2"/>
    <x v="2"/>
    <n v="1"/>
    <n v="100000"/>
    <n v="3"/>
    <n v="97000"/>
    <n v="18365.62"/>
    <x v="2"/>
    <s v="Cancelled"/>
    <x v="2"/>
    <s v="No"/>
  </r>
  <r>
    <s v="RIDEZONE BIKE SHOWROOM"/>
    <x v="618"/>
    <x v="159"/>
    <s v="CUST2619"/>
    <s v="Vignesh P"/>
    <s v="Female"/>
    <n v="39"/>
    <x v="7"/>
    <s v="Tamil Nadu"/>
    <x v="7"/>
    <x v="0"/>
    <n v="1"/>
    <n v="172000"/>
    <n v="2"/>
    <n v="168560"/>
    <n v="28100.93"/>
    <x v="0"/>
    <s v="Completed"/>
    <x v="3"/>
    <s v="Yes"/>
  </r>
  <r>
    <s v="RIDEZONE BIKE SHOWROOM"/>
    <x v="619"/>
    <x v="389"/>
    <s v="CUST2620"/>
    <s v="Vignesh P"/>
    <s v="Male"/>
    <n v="20"/>
    <x v="5"/>
    <s v="Tamil Nadu"/>
    <x v="0"/>
    <x v="1"/>
    <n v="1"/>
    <n v="93000"/>
    <n v="10"/>
    <n v="83700"/>
    <n v="7969.9"/>
    <x v="2"/>
    <s v="Completed"/>
    <x v="2"/>
    <s v="Yes"/>
  </r>
  <r>
    <s v="RIDEZONE BIKE SHOWROOM"/>
    <x v="620"/>
    <x v="121"/>
    <s v="CUST2621"/>
    <s v="Suresh B"/>
    <s v="Male"/>
    <n v="42"/>
    <x v="1"/>
    <s v="Tamil Nadu"/>
    <x v="6"/>
    <x v="1"/>
    <n v="2"/>
    <n v="237000"/>
    <n v="0"/>
    <n v="474000"/>
    <n v="63658.58"/>
    <x v="7"/>
    <s v="Pending"/>
    <x v="0"/>
    <s v="Yes"/>
  </r>
  <r>
    <s v="RIDEZONE BIKE SHOWROOM"/>
    <x v="621"/>
    <x v="390"/>
    <s v="CUST2622"/>
    <s v="Karthik Raj"/>
    <s v="Female"/>
    <n v="43"/>
    <x v="5"/>
    <s v="Tamil Nadu"/>
    <x v="4"/>
    <x v="2"/>
    <n v="1"/>
    <n v="123000"/>
    <n v="5"/>
    <n v="116850"/>
    <n v="13596.3"/>
    <x v="6"/>
    <s v="Cancelled"/>
    <x v="1"/>
    <s v="No"/>
  </r>
  <r>
    <s v="RIDEZONE BIKE SHOWROOM"/>
    <x v="622"/>
    <x v="391"/>
    <s v="CUST2623"/>
    <s v="Arun Kumar"/>
    <s v="Female"/>
    <n v="39"/>
    <x v="2"/>
    <s v="Tamil Nadu"/>
    <x v="7"/>
    <x v="1"/>
    <n v="1"/>
    <n v="172000"/>
    <n v="10"/>
    <n v="154800"/>
    <n v="8899.1"/>
    <x v="5"/>
    <s v="Cancelled"/>
    <x v="4"/>
    <s v="No"/>
  </r>
  <r>
    <s v="RIDEZONE BIKE SHOWROOM"/>
    <x v="623"/>
    <x v="392"/>
    <s v="CUST2624"/>
    <s v="Rahul K"/>
    <s v="Male"/>
    <n v="45"/>
    <x v="2"/>
    <s v="Tamil Nadu"/>
    <x v="4"/>
    <x v="0"/>
    <n v="1"/>
    <n v="123000"/>
    <n v="3"/>
    <n v="119310"/>
    <n v="10230.700000000001"/>
    <x v="4"/>
    <s v="Returned"/>
    <x v="0"/>
    <s v="Yes"/>
  </r>
  <r>
    <s v="RIDEZONE BIKE SHOWROOM"/>
    <x v="624"/>
    <x v="393"/>
    <s v="CUST2625"/>
    <s v="Santhosh R"/>
    <s v="Female"/>
    <n v="34"/>
    <x v="5"/>
    <s v="Tamil Nadu"/>
    <x v="1"/>
    <x v="3"/>
    <n v="1"/>
    <n v="115000"/>
    <n v="0"/>
    <n v="115000"/>
    <n v="23152.3"/>
    <x v="5"/>
    <s v="Cancelled"/>
    <x v="2"/>
    <s v="Yes"/>
  </r>
  <r>
    <s v="RIDEZONE BIKE SHOWROOM"/>
    <x v="625"/>
    <x v="107"/>
    <s v="CUST2626"/>
    <s v="Rahul K"/>
    <s v="Female"/>
    <n v="28"/>
    <x v="2"/>
    <s v="Tamil Nadu"/>
    <x v="1"/>
    <x v="0"/>
    <n v="1"/>
    <n v="115000"/>
    <n v="10"/>
    <n v="103500"/>
    <n v="2216.87"/>
    <x v="6"/>
    <s v="Pending"/>
    <x v="4"/>
    <s v="Yes"/>
  </r>
  <r>
    <s v="RIDEZONE BIKE SHOWROOM"/>
    <x v="626"/>
    <x v="131"/>
    <s v="CUST2627"/>
    <s v="Suresh B"/>
    <s v="Female"/>
    <n v="30"/>
    <x v="0"/>
    <s v="Tamil Nadu"/>
    <x v="11"/>
    <x v="3"/>
    <n v="1"/>
    <n v="170000"/>
    <n v="10"/>
    <n v="153000"/>
    <n v="13643.24"/>
    <x v="6"/>
    <s v="Returned"/>
    <x v="2"/>
    <s v="No"/>
  </r>
  <r>
    <s v="RIDEZONE BIKE SHOWROOM"/>
    <x v="627"/>
    <x v="142"/>
    <s v="CUST2628"/>
    <s v="Karthik Raj"/>
    <s v="Male"/>
    <n v="0"/>
    <x v="3"/>
    <s v="Tamil Nadu"/>
    <x v="2"/>
    <x v="0"/>
    <n v="1"/>
    <n v="98000"/>
    <n v="7"/>
    <n v="91140"/>
    <n v="6162.3"/>
    <x v="1"/>
    <s v="Pending"/>
    <x v="1"/>
    <s v="Yes"/>
  </r>
  <r>
    <s v="RIDEZONE BIKE SHOWROOM"/>
    <x v="628"/>
    <x v="394"/>
    <s v="CUST2629"/>
    <s v="Santhosh R"/>
    <s v="Female"/>
    <n v="47"/>
    <x v="0"/>
    <s v="Tamil Nadu"/>
    <x v="8"/>
    <x v="3"/>
    <n v="1"/>
    <n v="125000"/>
    <n v="5"/>
    <n v="118750"/>
    <n v="6603.42"/>
    <x v="2"/>
    <s v="Completed"/>
    <x v="2"/>
    <s v="Yes"/>
  </r>
  <r>
    <s v="RIDEZONE BIKE SHOWROOM"/>
    <x v="629"/>
    <x v="38"/>
    <s v="CUST2630"/>
    <s v=" Suresh B "/>
    <s v="Female"/>
    <n v="36"/>
    <x v="5"/>
    <s v="Tamil Nadu"/>
    <x v="6"/>
    <x v="2"/>
    <n v="1"/>
    <n v="234000"/>
    <n v="2"/>
    <n v="229320"/>
    <n v="38905.620000000003"/>
    <x v="2"/>
    <s v="Completed"/>
    <x v="3"/>
    <s v="Yes"/>
  </r>
  <r>
    <s v="RIDEZONE BIKE SHOWROOM"/>
    <x v="630"/>
    <x v="395"/>
    <s v="CUST2631"/>
    <s v="Vignesh P"/>
    <s v="Male"/>
    <n v="29"/>
    <x v="5"/>
    <s v="Tamil Nadu"/>
    <x v="8"/>
    <x v="2"/>
    <n v="1"/>
    <n v="124000"/>
    <n v="5"/>
    <n v="117800"/>
    <n v="20509.11"/>
    <x v="6"/>
    <s v="Completed"/>
    <x v="2"/>
    <s v="No"/>
  </r>
  <r>
    <s v="RIDEZONE BIKE SHOWROOM"/>
    <x v="631"/>
    <x v="237"/>
    <s v="CUST2632"/>
    <s v="Vignesh P"/>
    <s v="Male"/>
    <n v="23"/>
    <x v="2"/>
    <s v="Tamil Nadu"/>
    <x v="4"/>
    <x v="3"/>
    <n v="1"/>
    <n v="114000"/>
    <n v="2"/>
    <n v="111720"/>
    <n v="18201.09"/>
    <x v="6"/>
    <s v="Cancelled"/>
    <x v="1"/>
    <s v="No"/>
  </r>
  <r>
    <s v="RIDEZONE BIKE SHOWROOM"/>
    <x v="632"/>
    <x v="77"/>
    <s v="CUST2633"/>
    <s v="Suresh B"/>
    <s v="Female"/>
    <n v="40"/>
    <x v="7"/>
    <s v="Tamil Nadu"/>
    <x v="4"/>
    <x v="1"/>
    <n v="1"/>
    <n v="123000"/>
    <n v="2"/>
    <n v="120540"/>
    <n v="23996.48"/>
    <x v="5"/>
    <s v="Completed"/>
    <x v="2"/>
    <s v="Yes"/>
  </r>
  <r>
    <s v="RIDEZONE BIKE SHOWROOM"/>
    <x v="633"/>
    <x v="396"/>
    <s v="CUST2634"/>
    <s v="Priya S"/>
    <s v="Female"/>
    <n v="55"/>
    <x v="6"/>
    <s v="Tamil Nadu"/>
    <x v="7"/>
    <x v="3"/>
    <n v="1"/>
    <n v="170000"/>
    <n v="0"/>
    <n v="170000"/>
    <n v="35423.5"/>
    <x v="6"/>
    <s v="Cancelled"/>
    <x v="0"/>
    <s v="No"/>
  </r>
  <r>
    <s v="RIDEZONE BIKE SHOWROOM"/>
    <x v="634"/>
    <x v="397"/>
    <s v="CUST2635"/>
    <s v="Arun Kumar"/>
    <s v="Male"/>
    <n v="27"/>
    <x v="7"/>
    <s v="Tamil Nadu"/>
    <x v="8"/>
    <x v="2"/>
    <n v="0"/>
    <n v="123000"/>
    <n v="2"/>
    <n v="120540"/>
    <n v="15307.71"/>
    <x v="2"/>
    <s v="Completed"/>
    <x v="4"/>
    <s v="No"/>
  </r>
  <r>
    <s v="RIDEZONE BIKE SHOWROOM"/>
    <x v="635"/>
    <x v="398"/>
    <s v="CUST2636"/>
    <s v=" Suresh B "/>
    <s v="Female"/>
    <n v="28"/>
    <x v="6"/>
    <s v="Tamil Nadu"/>
    <x v="7"/>
    <x v="3"/>
    <n v="3"/>
    <n v="169000"/>
    <n v="7"/>
    <n v="471510"/>
    <n v="32198.39"/>
    <x v="6"/>
    <s v="Cancelled"/>
    <x v="2"/>
    <s v="Yes"/>
  </r>
  <r>
    <s v="RIDEZONE BIKE SHOWROOM"/>
    <x v="636"/>
    <x v="399"/>
    <s v="CUST2637"/>
    <s v="Priya S"/>
    <s v="Female"/>
    <n v="37"/>
    <x v="8"/>
    <s v="Tamil Nadu"/>
    <x v="5"/>
    <x v="0"/>
    <n v="1"/>
    <n v="196000"/>
    <n v="7"/>
    <n v="182280"/>
    <n v="10798.38"/>
    <x v="5"/>
    <s v="Pending"/>
    <x v="3"/>
    <s v="No"/>
  </r>
  <r>
    <s v="RIDEZONE BIKE SHOWROOM"/>
    <x v="637"/>
    <x v="300"/>
    <s v="CUST2638"/>
    <s v="Divya M"/>
    <s v="Male"/>
    <n v="45"/>
    <x v="8"/>
    <s v="Tamil Nadu"/>
    <x v="3"/>
    <x v="2"/>
    <n v="1"/>
    <n v="176000"/>
    <n v="5"/>
    <n v="167200"/>
    <n v="18040.03"/>
    <x v="5"/>
    <s v="Pending"/>
    <x v="5"/>
    <s v="Yes"/>
  </r>
  <r>
    <s v="RIDEZONE BIKE SHOWROOM"/>
    <x v="638"/>
    <x v="400"/>
    <s v="CUST2639"/>
    <s v="Divya M"/>
    <s v="Male"/>
    <n v="36"/>
    <x v="0"/>
    <s v="Tamil Nadu"/>
    <x v="6"/>
    <x v="3"/>
    <n v="2"/>
    <n v="236000"/>
    <n v="5"/>
    <n v="448400"/>
    <n v="51703.76"/>
    <x v="0"/>
    <s v="Completed"/>
    <x v="0"/>
    <s v="Yes"/>
  </r>
  <r>
    <s v="RIDEZONE BIKE SHOWROOM"/>
    <x v="639"/>
    <x v="161"/>
    <s v="CUST2640"/>
    <s v="Divya M"/>
    <s v="Male"/>
    <n v="28"/>
    <x v="1"/>
    <s v="Tamil Nadu"/>
    <x v="9"/>
    <x v="2"/>
    <n v="1"/>
    <n v="87000"/>
    <n v="2"/>
    <n v="85260"/>
    <n v="7565.04"/>
    <x v="3"/>
    <s v="Completed"/>
    <x v="4"/>
    <s v="No"/>
  </r>
  <r>
    <s v="RIDEZONE BIKE SHOWROOM"/>
    <x v="640"/>
    <x v="352"/>
    <s v="CUST2641"/>
    <s v="Divya M"/>
    <s v="Female"/>
    <n v="46"/>
    <x v="3"/>
    <s v="Tamil Nadu"/>
    <x v="6"/>
    <x v="0"/>
    <n v="1"/>
    <n v="237000"/>
    <n v="7"/>
    <n v="220410"/>
    <n v="28040.75"/>
    <x v="5"/>
    <s v="Cancelled"/>
    <x v="0"/>
    <s v="No"/>
  </r>
  <r>
    <s v="RIDEZONE BIKE SHOWROOM"/>
    <x v="641"/>
    <x v="401"/>
    <s v="CUST2642"/>
    <s v="Vignesh P"/>
    <s v="Female"/>
    <n v="26"/>
    <x v="2"/>
    <s v="Tamil Nadu"/>
    <x v="2"/>
    <x v="2"/>
    <n v="2"/>
    <n v="99000"/>
    <n v="10"/>
    <n v="178200"/>
    <n v="504.61"/>
    <x v="2"/>
    <s v="Pending"/>
    <x v="1"/>
    <s v="No"/>
  </r>
  <r>
    <s v="RIDEZONE BIKE SHOWROOM"/>
    <x v="642"/>
    <x v="342"/>
    <s v="CUST2643"/>
    <s v="Santhosh R"/>
    <s v="Male"/>
    <n v="29"/>
    <x v="7"/>
    <s v="Tamil Nadu"/>
    <x v="8"/>
    <x v="1"/>
    <n v="1"/>
    <n v="124000"/>
    <n v="10"/>
    <n v="111600"/>
    <n v="4072.86"/>
    <x v="1"/>
    <s v="Returned"/>
    <x v="0"/>
    <s v="Yes"/>
  </r>
  <r>
    <s v="RIDEZONE BIKE SHOWROOM"/>
    <x v="643"/>
    <x v="341"/>
    <s v="CUST2644"/>
    <s v="Priya S"/>
    <s v="Female"/>
    <n v="30"/>
    <x v="6"/>
    <s v="Tamil Nadu"/>
    <x v="8"/>
    <x v="2"/>
    <n v="2"/>
    <n v="124000"/>
    <n v="10"/>
    <n v="223200"/>
    <n v="21366.36"/>
    <x v="0"/>
    <s v="Pending"/>
    <x v="4"/>
    <s v="No"/>
  </r>
  <r>
    <s v="RIDEZONE BIKE SHOWROOM"/>
    <x v="644"/>
    <x v="62"/>
    <s v="CUST2645"/>
    <s v="Karthik Raj"/>
    <s v="Female"/>
    <n v="20"/>
    <x v="6"/>
    <s v="Tamil Nadu"/>
    <x v="8"/>
    <x v="1"/>
    <n v="2"/>
    <n v="125000"/>
    <n v="0"/>
    <n v="250000"/>
    <n v="33270.79"/>
    <x v="5"/>
    <s v=" completed "/>
    <x v="4"/>
    <s v="Yes"/>
  </r>
  <r>
    <s v="RIDEZONE BIKE SHOWROOM"/>
    <x v="645"/>
    <x v="402"/>
    <s v="CUST2646"/>
    <s v="Arun Kumar"/>
    <s v="Male"/>
    <n v="20"/>
    <x v="1"/>
    <s v="Tamil Nadu"/>
    <x v="2"/>
    <x v="3"/>
    <n v="1"/>
    <n v="98000"/>
    <n v="2"/>
    <n v="96040"/>
    <n v="8562.08"/>
    <x v="6"/>
    <s v="Pending"/>
    <x v="0"/>
    <s v="No"/>
  </r>
  <r>
    <s v="RIDEZONE BIKE SHOWROOM"/>
    <x v="646"/>
    <x v="41"/>
    <s v="CUST2647"/>
    <s v="Divya M"/>
    <s v="Male"/>
    <n v="23"/>
    <x v="6"/>
    <s v="Tamil Nadu"/>
    <x v="6"/>
    <x v="0"/>
    <n v="1"/>
    <n v="235000"/>
    <n v="3"/>
    <n v="227950"/>
    <n v="31144.78"/>
    <x v="5"/>
    <s v="Completed"/>
    <x v="5"/>
    <s v="No"/>
  </r>
  <r>
    <s v="RIDEZONE BIKE SHOWROOM"/>
    <x v="647"/>
    <x v="403"/>
    <s v="CUST2648"/>
    <s v="Rahul K"/>
    <s v="Female"/>
    <n v="29"/>
    <x v="7"/>
    <s v="Tamil Nadu"/>
    <x v="0"/>
    <x v="2"/>
    <n v="1"/>
    <n v="94000"/>
    <n v="0"/>
    <n v="94000"/>
    <n v="18123.099999999999"/>
    <x v="4"/>
    <s v="Completed"/>
    <x v="2"/>
    <s v="Yes"/>
  </r>
  <r>
    <s v="RIDEZONE BIKE SHOWROOM"/>
    <x v="648"/>
    <x v="82"/>
    <s v="CUST2649"/>
    <s v="Rahul K"/>
    <s v="Male"/>
    <n v="27"/>
    <x v="1"/>
    <s v="Tamil Nadu"/>
    <x v="0"/>
    <x v="0"/>
    <n v="1"/>
    <n v="95000"/>
    <n v="3"/>
    <n v="92150"/>
    <n v="17180.29"/>
    <x v="1"/>
    <s v="Pending"/>
    <x v="2"/>
    <s v="No"/>
  </r>
  <r>
    <s v="RIDEZONE BIKE SHOWROOM"/>
    <x v="649"/>
    <x v="404"/>
    <s v="CUST2650"/>
    <s v="Karthik Raj"/>
    <s v="Female"/>
    <n v="42"/>
    <x v="5"/>
    <s v="Tamil Nadu"/>
    <x v="6"/>
    <x v="1"/>
    <n v="1"/>
    <n v="234000"/>
    <n v="10"/>
    <n v="210600"/>
    <n v="8784.5300000000007"/>
    <x v="6"/>
    <s v="Cancelled"/>
    <x v="3"/>
    <s v="Yes"/>
  </r>
  <r>
    <s v="RIDEZONE BIKE SHOWROOM"/>
    <x v="650"/>
    <x v="244"/>
    <s v="CUST2651"/>
    <s v="Karthik Raj"/>
    <s v="Male"/>
    <n v="50"/>
    <x v="5"/>
    <s v="Tamil Nadu"/>
    <x v="9"/>
    <x v="1"/>
    <n v="1"/>
    <n v="84000"/>
    <n v="3"/>
    <n v="81480"/>
    <n v="14470.38"/>
    <x v="5"/>
    <s v="Pending"/>
    <x v="4"/>
    <s v="No"/>
  </r>
  <r>
    <s v="RIDEZONE BIKE SHOWROOM"/>
    <x v="651"/>
    <x v="90"/>
    <s v="CUST2652"/>
    <s v="Rahul K"/>
    <s v="Male"/>
    <n v="46"/>
    <x v="5"/>
    <s v="Tamil Nadu"/>
    <x v="4"/>
    <x v="2"/>
    <n v="1"/>
    <n v="98000"/>
    <n v="3"/>
    <n v="95060"/>
    <n v="12808.13"/>
    <x v="4"/>
    <s v="Returned"/>
    <x v="5"/>
    <s v="No"/>
  </r>
  <r>
    <s v="RIDEZONE BIKE SHOWROOM"/>
    <x v="652"/>
    <x v="405"/>
    <s v="CUST2653"/>
    <s v="Suresh B"/>
    <s v="Male"/>
    <n v="53"/>
    <x v="6"/>
    <s v="Tamil Nadu"/>
    <x v="1"/>
    <x v="2"/>
    <n v="1"/>
    <n v="114000"/>
    <n v="5"/>
    <n v="108300"/>
    <n v="18236.11"/>
    <x v="6"/>
    <s v="Completed"/>
    <x v="0"/>
    <s v="Yes"/>
  </r>
  <r>
    <s v="RIDEZONE BIKE SHOWROOM"/>
    <x v="653"/>
    <x v="236"/>
    <s v="CUST2654"/>
    <s v="Divya M"/>
    <s v="Female"/>
    <n v="28"/>
    <x v="6"/>
    <s v="Tamil Nadu"/>
    <x v="4"/>
    <x v="2"/>
    <n v="2"/>
    <n v="123000"/>
    <n v="0"/>
    <n v="246000"/>
    <n v="27216.6"/>
    <x v="4"/>
    <s v="Pending"/>
    <x v="0"/>
    <s v="Yes"/>
  </r>
  <r>
    <s v="RIDEZONE BIKE SHOWROOM"/>
    <x v="654"/>
    <x v="406"/>
    <s v="CUST2655"/>
    <s v="Rahul K"/>
    <s v="Male"/>
    <n v="47"/>
    <x v="5"/>
    <s v="Tamil Nadu"/>
    <x v="9"/>
    <x v="0"/>
    <n v="1"/>
    <n v="87000"/>
    <n v="10"/>
    <n v="78300"/>
    <n v="8946.2800000000007"/>
    <x v="6"/>
    <s v="Returned"/>
    <x v="5"/>
    <s v="Yes"/>
  </r>
  <r>
    <s v="RIDEZONE BIKE SHOWROOM"/>
    <x v="655"/>
    <x v="369"/>
    <s v="CUST2656"/>
    <s v="Priya S"/>
    <s v="Male"/>
    <n v="46"/>
    <x v="5"/>
    <s v="Tamil Nadu"/>
    <x v="9"/>
    <x v="1"/>
    <n v="1"/>
    <n v="83000"/>
    <n v="2"/>
    <n v="81340"/>
    <n v="15832.43"/>
    <x v="0"/>
    <s v="Cancelled"/>
    <x v="2"/>
    <s v="No"/>
  </r>
  <r>
    <s v="RIDEZONE BIKE SHOWROOM"/>
    <x v="656"/>
    <x v="371"/>
    <s v="CUST2657"/>
    <s v="Arun Kumar"/>
    <s v="Male"/>
    <n v="23"/>
    <x v="6"/>
    <s v="Tamil Nadu"/>
    <x v="4"/>
    <x v="2"/>
    <n v="1"/>
    <n v="127000"/>
    <n v="0"/>
    <n v="127000"/>
    <n v="23569.64"/>
    <x v="5"/>
    <s v="Returned"/>
    <x v="2"/>
    <s v="No"/>
  </r>
  <r>
    <s v="RIDEZONE BIKE SHOWROOM"/>
    <x v="657"/>
    <x v="10"/>
    <s v="CUST2658"/>
    <s v="Divya M"/>
    <s v="Male"/>
    <n v="30"/>
    <x v="2"/>
    <s v="Tamil Nadu"/>
    <x v="1"/>
    <x v="1"/>
    <n v="2"/>
    <n v="116000"/>
    <n v="3"/>
    <n v="225040"/>
    <n v="24331.62"/>
    <x v="1"/>
    <s v="Pending"/>
    <x v="2"/>
    <s v="Yes"/>
  </r>
  <r>
    <s v="RIDEZONE BIKE SHOWROOM"/>
    <x v="658"/>
    <x v="186"/>
    <s v="CUST2659"/>
    <s v="Santhosh R"/>
    <s v="Female"/>
    <n v="49"/>
    <x v="7"/>
    <s v="Tamil Nadu"/>
    <x v="8"/>
    <x v="1"/>
    <n v="1"/>
    <n v="127000"/>
    <n v="7"/>
    <n v="118110"/>
    <n v="9828.5300000000007"/>
    <x v="4"/>
    <s v="Pending"/>
    <x v="4"/>
    <s v="No"/>
  </r>
  <r>
    <s v="RIDEZONE BIKE SHOWROOM"/>
    <x v="659"/>
    <x v="122"/>
    <s v="CUST2660"/>
    <s v="Suresh B"/>
    <s v="Female"/>
    <n v="21"/>
    <x v="1"/>
    <s v="Tamil Nadu"/>
    <x v="5"/>
    <x v="2"/>
    <n v="1"/>
    <n v="193000"/>
    <n v="0"/>
    <n v="193000"/>
    <n v="34059.83"/>
    <x v="6"/>
    <s v="Completed"/>
    <x v="0"/>
    <s v="Yes"/>
  </r>
  <r>
    <s v="RIDEZONE BIKE SHOWROOM"/>
    <x v="660"/>
    <x v="144"/>
    <s v="CUST2661"/>
    <s v="Santhosh R"/>
    <s v="Male"/>
    <n v="22"/>
    <x v="1"/>
    <s v="Tamil Nadu"/>
    <x v="7"/>
    <x v="0"/>
    <n v="0"/>
    <n v="172000"/>
    <n v="0"/>
    <n v="172000"/>
    <n v="32879.480000000003"/>
    <x v="7"/>
    <s v="Completed"/>
    <x v="1"/>
    <s v="Yes"/>
  </r>
  <r>
    <s v="RIDEZONE BIKE SHOWROOM"/>
    <x v="661"/>
    <x v="407"/>
    <s v="CUST2662"/>
    <s v="Priya S"/>
    <s v="Male"/>
    <n v="42"/>
    <x v="2"/>
    <s v="Tamil Nadu"/>
    <x v="4"/>
    <x v="3"/>
    <n v="2"/>
    <n v="126000"/>
    <n v="2"/>
    <n v="246960"/>
    <n v="40890.35"/>
    <x v="4"/>
    <s v="Completed"/>
    <x v="5"/>
    <s v="Yes"/>
  </r>
  <r>
    <s v="RIDEZONE BIKE SHOWROOM"/>
    <x v="662"/>
    <x v="408"/>
    <s v="CUST2663"/>
    <s v="Karthik Raj"/>
    <s v="Male"/>
    <n v="25"/>
    <x v="7"/>
    <s v="Tamil Nadu"/>
    <x v="9"/>
    <x v="2"/>
    <n v="1"/>
    <n v="83000"/>
    <n v="3"/>
    <n v="80510"/>
    <n v="14164.22"/>
    <x v="1"/>
    <s v="Pending"/>
    <x v="5"/>
    <s v="No"/>
  </r>
  <r>
    <s v="RIDEZONE BIKE SHOWROOM"/>
    <x v="663"/>
    <x v="58"/>
    <s v="CUST2664"/>
    <s v="Vignesh P"/>
    <s v="Male"/>
    <n v="22"/>
    <x v="5"/>
    <s v="Tamil Nadu"/>
    <x v="3"/>
    <x v="2"/>
    <n v="1"/>
    <n v="175000"/>
    <n v="7"/>
    <n v="162750"/>
    <n v="8275"/>
    <x v="6"/>
    <s v="Pending"/>
    <x v="5"/>
    <s v="No"/>
  </r>
  <r>
    <s v="RIDEZONE BIKE SHOWROOM"/>
    <x v="664"/>
    <x v="159"/>
    <s v="CUST2665"/>
    <s v="Karthik Raj"/>
    <s v="Female"/>
    <n v="51"/>
    <x v="0"/>
    <s v="Tamil Nadu"/>
    <x v="0"/>
    <x v="3"/>
    <n v="1"/>
    <n v="95000"/>
    <n v="7"/>
    <n v="88350"/>
    <n v="4360.12"/>
    <x v="1"/>
    <s v="Cancelled"/>
    <x v="0"/>
    <s v="Yes"/>
  </r>
  <r>
    <s v="RIDEZONE BIKE SHOWROOM"/>
    <x v="665"/>
    <x v="81"/>
    <s v="CUST2666"/>
    <s v="Santhosh R"/>
    <s v="Female"/>
    <n v="36"/>
    <x v="15"/>
    <s v="Tamil Nadu"/>
    <x v="7"/>
    <x v="1"/>
    <n v="1"/>
    <n v="168000"/>
    <n v="2"/>
    <n v="164640"/>
    <n v="19273.189999999999"/>
    <x v="1"/>
    <s v="Completed"/>
    <x v="5"/>
    <s v="No"/>
  </r>
  <r>
    <s v="RIDEZONE BIKE SHOWROOM"/>
    <x v="666"/>
    <x v="348"/>
    <s v="CUST2667"/>
    <s v="Rahul K"/>
    <s v="Female"/>
    <n v="48"/>
    <x v="3"/>
    <s v="Tamil Nadu"/>
    <x v="9"/>
    <x v="3"/>
    <n v="0"/>
    <n v="85000"/>
    <n v="5"/>
    <n v="161500"/>
    <n v="11417.18"/>
    <x v="6"/>
    <s v="Returned"/>
    <x v="5"/>
    <s v="No"/>
  </r>
  <r>
    <s v="RIDEZONE BIKE SHOWROOM"/>
    <x v="667"/>
    <x v="331"/>
    <s v="CUST2668"/>
    <s v="Arun Kumar"/>
    <s v="Male"/>
    <n v="55"/>
    <x v="0"/>
    <s v="Tamil Nadu"/>
    <x v="7"/>
    <x v="0"/>
    <n v="1"/>
    <n v="172000"/>
    <n v="0"/>
    <n v="172000"/>
    <n v="22544.880000000001"/>
    <x v="5"/>
    <s v="Returned"/>
    <x v="0"/>
    <s v="No"/>
  </r>
  <r>
    <s v="RIDEZONE BIKE SHOWROOM"/>
    <x v="668"/>
    <x v="409"/>
    <s v="CUST2669"/>
    <s v="Santhosh R"/>
    <s v="Male"/>
    <n v="49"/>
    <x v="1"/>
    <s v="Tamil Nadu"/>
    <x v="0"/>
    <x v="0"/>
    <n v="1"/>
    <n v="95000"/>
    <n v="10"/>
    <n v="85500"/>
    <n v="10334.06"/>
    <x v="1"/>
    <s v="Completed"/>
    <x v="2"/>
    <s v="No"/>
  </r>
  <r>
    <s v="RIDEZONE BIKE SHOWROOM"/>
    <x v="669"/>
    <x v="315"/>
    <s v="CUST2670"/>
    <s v="Santhosh R"/>
    <s v="Male"/>
    <n v="33"/>
    <x v="7"/>
    <s v="Tamil Nadu"/>
    <x v="8"/>
    <x v="3"/>
    <n v="1"/>
    <n v="125000"/>
    <n v="3"/>
    <n v="121250"/>
    <n v="8803.43"/>
    <x v="2"/>
    <s v="Completed"/>
    <x v="5"/>
    <s v="Yes"/>
  </r>
  <r>
    <s v="RIDEZONE BIKE SHOWROOM"/>
    <x v="670"/>
    <x v="410"/>
    <s v="CUST2671"/>
    <s v="Arun Kumar"/>
    <s v="Female"/>
    <n v="44"/>
    <x v="5"/>
    <s v="Tamil Nadu"/>
    <x v="3"/>
    <x v="1"/>
    <n v="1"/>
    <n v="175000"/>
    <n v="7"/>
    <n v="162750"/>
    <n v="25592.21"/>
    <x v="2"/>
    <s v="Pending"/>
    <x v="4"/>
    <s v="Yes"/>
  </r>
  <r>
    <s v="RIDEZONE BIKE SHOWROOM"/>
    <x v="671"/>
    <x v="411"/>
    <s v="CUST2672"/>
    <s v="Vignesh P"/>
    <s v="Male"/>
    <n v="37"/>
    <x v="7"/>
    <s v="Tamil Nadu"/>
    <x v="9"/>
    <x v="3"/>
    <n v="1"/>
    <n v="87000"/>
    <n v="2"/>
    <n v="85260"/>
    <n v="16527.310000000001"/>
    <x v="2"/>
    <s v="Returned"/>
    <x v="5"/>
    <s v="Yes"/>
  </r>
  <r>
    <s v="RIDEZONE BIKE SHOWROOM"/>
    <x v="672"/>
    <x v="412"/>
    <s v="CUST2673"/>
    <s v="Suresh B"/>
    <s v="Female"/>
    <n v="30"/>
    <x v="5"/>
    <s v="Tamil Nadu"/>
    <x v="7"/>
    <x v="1"/>
    <n v="0"/>
    <n v="168000"/>
    <n v="5"/>
    <n v="159600"/>
    <n v="21664.89"/>
    <x v="2"/>
    <s v="Returned"/>
    <x v="5"/>
    <s v="Yes"/>
  </r>
  <r>
    <s v="RIDEZONE BIKE SHOWROOM"/>
    <x v="673"/>
    <x v="413"/>
    <s v="CUST2674"/>
    <s v="Karthik Raj"/>
    <s v="Male"/>
    <n v="0"/>
    <x v="3"/>
    <s v="Tamil Nadu"/>
    <x v="4"/>
    <x v="3"/>
    <n v="2"/>
    <n v="196000"/>
    <n v="5"/>
    <n v="372400"/>
    <n v="27925.34"/>
    <x v="6"/>
    <s v="Completed"/>
    <x v="0"/>
    <s v="No"/>
  </r>
  <r>
    <s v="RIDEZONE BIKE SHOWROOM"/>
    <x v="674"/>
    <x v="256"/>
    <s v="CUST2675"/>
    <s v="Santhosh R"/>
    <s v="Male"/>
    <n v="20"/>
    <x v="6"/>
    <s v="Tamil Nadu"/>
    <x v="2"/>
    <x v="1"/>
    <n v="2"/>
    <n v="96000"/>
    <n v="10"/>
    <n v="172800"/>
    <n v="13676.85"/>
    <x v="5"/>
    <s v="Completed"/>
    <x v="0"/>
    <s v="Yes"/>
  </r>
  <r>
    <s v="RIDEZONE BIKE SHOWROOM"/>
    <x v="675"/>
    <x v="98"/>
    <s v="CUST2676"/>
    <s v="Rahul K"/>
    <s v="Female"/>
    <n v="20"/>
    <x v="5"/>
    <s v="Tamil Nadu"/>
    <x v="5"/>
    <x v="0"/>
    <n v="1"/>
    <n v="194000"/>
    <n v="3"/>
    <n v="188180"/>
    <n v="31976.720000000001"/>
    <x v="5"/>
    <s v="Cancelled"/>
    <x v="5"/>
    <s v="Yes"/>
  </r>
  <r>
    <s v="RIDEZONE BIKE SHOWROOM"/>
    <x v="676"/>
    <x v="414"/>
    <s v="CUST2677"/>
    <s v="Rahul K"/>
    <s v="Male"/>
    <n v="53"/>
    <x v="6"/>
    <s v="Tamil Nadu"/>
    <x v="3"/>
    <x v="2"/>
    <n v="1"/>
    <n v="175000"/>
    <n v="3"/>
    <n v="169750"/>
    <n v="15858.1"/>
    <x v="2"/>
    <s v="Returned"/>
    <x v="1"/>
    <s v="Yes"/>
  </r>
  <r>
    <s v="RIDEZONE BIKE SHOWROOM"/>
    <x v="677"/>
    <x v="415"/>
    <s v="CUST2678"/>
    <s v="Karthik Raj"/>
    <s v="Male"/>
    <n v="38"/>
    <x v="5"/>
    <s v="Tamil Nadu"/>
    <x v="1"/>
    <x v="0"/>
    <n v="1"/>
    <n v="115000"/>
    <n v="3"/>
    <n v="111550"/>
    <n v="10187.74"/>
    <x v="6"/>
    <s v="Completed"/>
    <x v="5"/>
    <s v="No"/>
  </r>
  <r>
    <s v="RIDEZONE BIKE SHOWROOM"/>
    <x v="678"/>
    <x v="321"/>
    <s v="CUST2679"/>
    <s v="Arun Kumar"/>
    <s v="Female"/>
    <n v="52"/>
    <x v="6"/>
    <s v="Tamil Nadu"/>
    <x v="0"/>
    <x v="1"/>
    <n v="1"/>
    <n v="96000"/>
    <n v="7"/>
    <n v="89280"/>
    <n v="13251.43"/>
    <x v="3"/>
    <s v="Pending"/>
    <x v="2"/>
    <s v="No"/>
  </r>
  <r>
    <s v="RIDEZONE BIKE SHOWROOM"/>
    <x v="679"/>
    <x v="416"/>
    <s v="CUST2680"/>
    <s v="Vignesh P"/>
    <s v="Male"/>
    <n v="46"/>
    <x v="1"/>
    <s v="Tamil Nadu"/>
    <x v="0"/>
    <x v="3"/>
    <n v="2"/>
    <n v="93000"/>
    <n v="3"/>
    <n v="180420"/>
    <n v="13742.81"/>
    <x v="3"/>
    <s v="Cancelled"/>
    <x v="1"/>
    <s v="No"/>
  </r>
  <r>
    <s v="RIDEZONE BIKE SHOWROOM"/>
    <x v="680"/>
    <x v="406"/>
    <s v="CUST2681"/>
    <s v="Rahul K"/>
    <s v="Female"/>
    <n v="29"/>
    <x v="7"/>
    <s v="Tamil Nadu"/>
    <x v="7"/>
    <x v="3"/>
    <n v="1"/>
    <n v="168000"/>
    <n v="5"/>
    <n v="159600"/>
    <n v="27901.279999999999"/>
    <x v="1"/>
    <s v="Returned"/>
    <x v="0"/>
    <s v="No"/>
  </r>
  <r>
    <s v="RIDEZONE BIKE SHOWROOM"/>
    <x v="681"/>
    <x v="300"/>
    <s v="CUST2682"/>
    <s v="Vignesh P"/>
    <s v="Female"/>
    <n v="31"/>
    <x v="7"/>
    <s v="Tamil Nadu"/>
    <x v="8"/>
    <x v="2"/>
    <n v="1"/>
    <n v="126000"/>
    <n v="5"/>
    <n v="119700"/>
    <n v="19471.48"/>
    <x v="4"/>
    <s v="Pending"/>
    <x v="4"/>
    <s v="Yes"/>
  </r>
  <r>
    <s v="RIDEZONE BIKE SHOWROOM"/>
    <x v="682"/>
    <x v="173"/>
    <s v="CUST2683"/>
    <s v="Rahul K"/>
    <s v="Male"/>
    <n v="30"/>
    <x v="8"/>
    <s v="Tamil Nadu"/>
    <x v="1"/>
    <x v="0"/>
    <n v="1"/>
    <n v="115000"/>
    <n v="10"/>
    <n v="103500"/>
    <n v="1150.02"/>
    <x v="6"/>
    <s v="Completed"/>
    <x v="2"/>
    <s v="Yes"/>
  </r>
  <r>
    <s v="RIDEZONE BIKE SHOWROOM"/>
    <x v="683"/>
    <x v="417"/>
    <s v="CUST2684"/>
    <s v="Arun Kumar"/>
    <s v="Male"/>
    <n v="44"/>
    <x v="5"/>
    <s v="Tamil Nadu"/>
    <x v="6"/>
    <x v="1"/>
    <n v="1"/>
    <n v="237000"/>
    <n v="0"/>
    <n v="220410"/>
    <n v="9368.2999999999993"/>
    <x v="6"/>
    <s v="Pending"/>
    <x v="0"/>
    <s v="Yes"/>
  </r>
  <r>
    <s v="RIDEZONE BIKE SHOWROOM"/>
    <x v="684"/>
    <x v="360"/>
    <s v="CUST2685"/>
    <s v="Arun Kumar"/>
    <s v="Female"/>
    <n v="36"/>
    <x v="1"/>
    <s v="Tamil Nadu"/>
    <x v="7"/>
    <x v="0"/>
    <n v="1"/>
    <n v="169000"/>
    <n v="10"/>
    <n v="152100"/>
    <n v="4461.01"/>
    <x v="1"/>
    <s v=" completed "/>
    <x v="3"/>
    <s v="Yes"/>
  </r>
  <r>
    <s v="RIDEZONE BIKE SHOWROOM"/>
    <x v="685"/>
    <x v="338"/>
    <s v="CUST2686"/>
    <s v="Karthik Raj"/>
    <s v="Male"/>
    <n v="31"/>
    <x v="6"/>
    <s v="Tamil Nadu"/>
    <x v="0"/>
    <x v="1"/>
    <n v="2"/>
    <n v="93000"/>
    <n v="0"/>
    <n v="186000"/>
    <n v="37754.230000000003"/>
    <x v="6"/>
    <s v="Pending"/>
    <x v="2"/>
    <s v="Yes"/>
  </r>
  <r>
    <s v="RIDEZONE BIKE SHOWROOM"/>
    <x v="686"/>
    <x v="1"/>
    <s v="CUST2687"/>
    <s v="Rahul K"/>
    <s v="Female"/>
    <n v="44"/>
    <x v="12"/>
    <s v="Tamil Nadu"/>
    <x v="3"/>
    <x v="2"/>
    <n v="1"/>
    <n v="175000"/>
    <n v="10"/>
    <n v="157500"/>
    <n v="19397.43"/>
    <x v="1"/>
    <s v="Cancelled"/>
    <x v="4"/>
    <s v="Yes"/>
  </r>
  <r>
    <s v="RIDEZONE BIKE SHOWROOM"/>
    <x v="687"/>
    <x v="402"/>
    <s v="CUST2688"/>
    <s v="Arun Kumar"/>
    <s v="Male"/>
    <n v="54"/>
    <x v="0"/>
    <s v="Tamil Nadu"/>
    <x v="6"/>
    <x v="3"/>
    <n v="1"/>
    <n v="235000"/>
    <n v="3"/>
    <n v="227950"/>
    <n v="31003.71"/>
    <x v="6"/>
    <s v="Pending"/>
    <x v="5"/>
    <s v="Yes"/>
  </r>
  <r>
    <s v="RIDEZONE BIKE SHOWROOM"/>
    <x v="688"/>
    <x v="38"/>
    <s v="CUST2689"/>
    <s v="Arun Kumar"/>
    <s v="Female"/>
    <n v="33"/>
    <x v="0"/>
    <s v="Tamil Nadu"/>
    <x v="1"/>
    <x v="2"/>
    <n v="1"/>
    <n v="114000"/>
    <n v="2"/>
    <n v="111720"/>
    <n v="10941.16"/>
    <x v="3"/>
    <s v="Completed"/>
    <x v="3"/>
    <s v="Yes"/>
  </r>
  <r>
    <s v="RIDEZONE BIKE SHOWROOM"/>
    <x v="689"/>
    <x v="185"/>
    <s v="CUST2690"/>
    <s v="Santhosh R"/>
    <s v="Female"/>
    <n v="49"/>
    <x v="2"/>
    <s v="Tamil Nadu"/>
    <x v="7"/>
    <x v="1"/>
    <n v="1"/>
    <n v="168000"/>
    <n v="3"/>
    <n v="162960"/>
    <n v="17645.04"/>
    <x v="3"/>
    <s v="Cancelled"/>
    <x v="0"/>
    <s v="Yes"/>
  </r>
  <r>
    <s v="RIDEZONE BIKE SHOWROOM"/>
    <x v="690"/>
    <x v="332"/>
    <s v="CUST2691"/>
    <s v="Vignesh P"/>
    <s v="Female"/>
    <n v="51"/>
    <x v="7"/>
    <s v="Tamil Nadu"/>
    <x v="7"/>
    <x v="1"/>
    <n v="1"/>
    <n v="171000"/>
    <n v="3"/>
    <n v="165870"/>
    <n v="29090.799999999999"/>
    <x v="0"/>
    <s v="Cancelled"/>
    <x v="5"/>
    <s v="Yes"/>
  </r>
  <r>
    <s v="RIDEZONE BIKE SHOWROOM"/>
    <x v="691"/>
    <x v="33"/>
    <s v="CUST2692"/>
    <s v="Priya S"/>
    <s v="Male"/>
    <n v="48"/>
    <x v="7"/>
    <s v="Tamil Nadu"/>
    <x v="6"/>
    <x v="3"/>
    <n v="1"/>
    <n v="236000"/>
    <n v="3"/>
    <n v="228920"/>
    <n v="34249.440000000002"/>
    <x v="0"/>
    <s v="Cancelled"/>
    <x v="5"/>
    <s v="No"/>
  </r>
  <r>
    <s v="RIDEZONE BIKE SHOWROOM"/>
    <x v="692"/>
    <x v="418"/>
    <s v="CUST2693"/>
    <s v="Karthik Raj"/>
    <s v="Male"/>
    <n v="35"/>
    <x v="0"/>
    <s v="Tamil Nadu"/>
    <x v="5"/>
    <x v="3"/>
    <n v="1"/>
    <n v="195000"/>
    <n v="5"/>
    <n v="185250"/>
    <n v="14643.02"/>
    <x v="6"/>
    <s v="Pending"/>
    <x v="1"/>
    <s v="Yes"/>
  </r>
  <r>
    <s v="RIDEZONE BIKE SHOWROOM"/>
    <x v="693"/>
    <x v="254"/>
    <s v="CUST2694"/>
    <s v="Suresh B"/>
    <s v="Male"/>
    <n v="40"/>
    <x v="3"/>
    <s v="Tamil Nadu"/>
    <x v="9"/>
    <x v="1"/>
    <n v="1"/>
    <n v="87000"/>
    <n v="3"/>
    <n v="84390"/>
    <n v="14298.22"/>
    <x v="5"/>
    <s v="Pending"/>
    <x v="5"/>
    <s v="Yes"/>
  </r>
  <r>
    <s v="RIDEZONE BIKE SHOWROOM"/>
    <x v="694"/>
    <x v="405"/>
    <s v="CUST2695"/>
    <s v="Rahul K"/>
    <s v="Female"/>
    <n v="47"/>
    <x v="2"/>
    <s v="Tamil Nadu"/>
    <x v="0"/>
    <x v="2"/>
    <n v="1"/>
    <n v="97000"/>
    <n v="0"/>
    <n v="97000"/>
    <n v="14659.24"/>
    <x v="3"/>
    <s v="Completed"/>
    <x v="2"/>
    <s v="No"/>
  </r>
  <r>
    <s v="RIDEZONE BIKE SHOWROOM"/>
    <x v="695"/>
    <x v="316"/>
    <s v="CUST2696"/>
    <s v="Suresh B"/>
    <s v="Male"/>
    <n v="44"/>
    <x v="2"/>
    <s v="Tamil Nadu"/>
    <x v="9"/>
    <x v="3"/>
    <n v="1"/>
    <n v="83000"/>
    <n v="5"/>
    <n v="78850"/>
    <n v="12405.45"/>
    <x v="5"/>
    <s v="Completed"/>
    <x v="2"/>
    <s v="No"/>
  </r>
  <r>
    <s v="RIDEZONE BIKE SHOWROOM"/>
    <x v="696"/>
    <x v="419"/>
    <s v="CUST2697"/>
    <s v="Santhosh R"/>
    <s v="Male"/>
    <n v="24"/>
    <x v="7"/>
    <s v="Tamil Nadu"/>
    <x v="2"/>
    <x v="1"/>
    <n v="1"/>
    <n v="99000"/>
    <n v="7"/>
    <n v="92070"/>
    <n v="14385.25"/>
    <x v="5"/>
    <s v="Cancelled"/>
    <x v="1"/>
    <s v="No"/>
  </r>
  <r>
    <s v="RIDEZONE BIKE SHOWROOM"/>
    <x v="697"/>
    <x v="175"/>
    <s v="CUST2698"/>
    <s v="Santhosh R"/>
    <s v="Female"/>
    <n v="0"/>
    <x v="8"/>
    <s v="Tamil Nadu"/>
    <x v="5"/>
    <x v="0"/>
    <n v="1"/>
    <n v="195000"/>
    <n v="5"/>
    <n v="185250"/>
    <n v="18821.7"/>
    <x v="6"/>
    <s v="Completed"/>
    <x v="4"/>
    <s v="Yes"/>
  </r>
  <r>
    <s v="RIDEZONE BIKE SHOWROOM"/>
    <x v="698"/>
    <x v="420"/>
    <s v="CUST2699"/>
    <s v="Karthik Raj"/>
    <s v="Male"/>
    <n v="30"/>
    <x v="0"/>
    <s v="Tamil Nadu"/>
    <x v="9"/>
    <x v="3"/>
    <n v="1"/>
    <n v="85000"/>
    <n v="10"/>
    <n v="76500"/>
    <n v="2812.62"/>
    <x v="5"/>
    <s v="Completed"/>
    <x v="1"/>
    <s v="Yes"/>
  </r>
  <r>
    <s v="RIDEZONE BIKE SHOWROOM"/>
    <x v="699"/>
    <x v="293"/>
    <s v="CUST2700"/>
    <s v="Priya S"/>
    <s v="Male"/>
    <n v="37"/>
    <x v="0"/>
    <s v="Tamil Nadu"/>
    <x v="0"/>
    <x v="1"/>
    <n v="2"/>
    <n v="93000"/>
    <n v="3"/>
    <n v="180420"/>
    <n v="27989.38"/>
    <x v="6"/>
    <s v="Pending"/>
    <x v="1"/>
    <s v="Yes"/>
  </r>
  <r>
    <s v="RIDEZONE BIKE SHOWROOM"/>
    <x v="700"/>
    <x v="167"/>
    <s v="CUST2701"/>
    <s v="Santhosh R"/>
    <s v="Female"/>
    <n v="50"/>
    <x v="7"/>
    <s v="Tamil Nadu"/>
    <x v="6"/>
    <x v="3"/>
    <n v="1"/>
    <n v="237000"/>
    <n v="0"/>
    <n v="237000"/>
    <n v="37301.040000000001"/>
    <x v="2"/>
    <s v="Pending"/>
    <x v="4"/>
    <s v="No"/>
  </r>
  <r>
    <s v="RIDEZONE BIKE SHOWROOM"/>
    <x v="701"/>
    <x v="332"/>
    <s v="CUST2702"/>
    <s v=" Karthik Raj "/>
    <s v="Female"/>
    <n v="24"/>
    <x v="8"/>
    <s v="Tamil Nadu"/>
    <x v="7"/>
    <x v="0"/>
    <n v="1"/>
    <n v="169000"/>
    <n v="10"/>
    <n v="152100"/>
    <n v="7156.12"/>
    <x v="3"/>
    <s v="Completed"/>
    <x v="3"/>
    <s v="Yes"/>
  </r>
  <r>
    <s v="RIDEZONE BIKE SHOWROOM"/>
    <x v="702"/>
    <x v="322"/>
    <s v="CUST2703"/>
    <s v="Rahul K"/>
    <s v="Female"/>
    <n v="53"/>
    <x v="7"/>
    <s v="Tamil Nadu"/>
    <x v="3"/>
    <x v="1"/>
    <n v="1"/>
    <n v="173000"/>
    <n v="3"/>
    <n v="167810"/>
    <n v="28538.19"/>
    <x v="1"/>
    <s v="Completed"/>
    <x v="0"/>
    <s v="Yes"/>
  </r>
  <r>
    <s v="RIDEZONE BIKE SHOWROOM"/>
    <x v="703"/>
    <x v="246"/>
    <s v="CUST2704"/>
    <s v="Karthik Raj"/>
    <s v="Female"/>
    <n v="32"/>
    <x v="7"/>
    <s v="Tamil Nadu"/>
    <x v="4"/>
    <x v="1"/>
    <n v="2"/>
    <n v="126000"/>
    <n v="7"/>
    <n v="234360"/>
    <n v="31660.65"/>
    <x v="1"/>
    <s v="Cancelled"/>
    <x v="5"/>
    <s v="Yes"/>
  </r>
  <r>
    <s v="RIDEZONE BIKE SHOWROOM"/>
    <x v="704"/>
    <x v="81"/>
    <s v="CUST2705"/>
    <s v="Divya M"/>
    <s v="Male"/>
    <n v="31"/>
    <x v="6"/>
    <s v="Tamil Nadu"/>
    <x v="2"/>
    <x v="1"/>
    <n v="2"/>
    <n v="100000"/>
    <n v="0"/>
    <n v="200000"/>
    <n v="38226.5"/>
    <x v="0"/>
    <s v="Cancelled"/>
    <x v="1"/>
    <s v="Yes"/>
  </r>
  <r>
    <s v="RIDEZONE BIKE SHOWROOM"/>
    <x v="705"/>
    <x v="58"/>
    <s v="CUST2706"/>
    <s v="Rahul K"/>
    <s v="Male"/>
    <n v="52"/>
    <x v="8"/>
    <s v="Tamil Nadu"/>
    <x v="1"/>
    <x v="1"/>
    <n v="1"/>
    <n v="114000"/>
    <n v="2"/>
    <n v="111720"/>
    <n v="17370.02"/>
    <x v="5"/>
    <s v="Cancelled"/>
    <x v="4"/>
    <s v="Yes"/>
  </r>
  <r>
    <s v="RIDEZONE BIKE SHOWROOM"/>
    <x v="706"/>
    <x v="42"/>
    <s v="CUST2707"/>
    <s v="Santhosh R"/>
    <s v="Female"/>
    <n v="53"/>
    <x v="7"/>
    <s v="Tamil Nadu"/>
    <x v="5"/>
    <x v="0"/>
    <n v="1"/>
    <n v="194000"/>
    <n v="5"/>
    <n v="184300"/>
    <n v="28867.7"/>
    <x v="5"/>
    <s v="Pending"/>
    <x v="4"/>
    <s v="Yes"/>
  </r>
  <r>
    <s v="RIDEZONE BIKE SHOWROOM"/>
    <x v="707"/>
    <x v="421"/>
    <s v="CUST2708"/>
    <s v="Divya M"/>
    <s v="Male"/>
    <n v="26"/>
    <x v="12"/>
    <s v="Tamil Nadu"/>
    <x v="0"/>
    <x v="1"/>
    <n v="2"/>
    <n v="96000"/>
    <n v="3"/>
    <n v="186240"/>
    <n v="30978.81"/>
    <x v="4"/>
    <s v="Returned"/>
    <x v="4"/>
    <s v="Yes"/>
  </r>
  <r>
    <s v="RIDEZONE BIKE SHOWROOM"/>
    <x v="708"/>
    <x v="422"/>
    <s v="CUST2709"/>
    <s v="Arun Kumar"/>
    <s v="Male"/>
    <n v="38"/>
    <x v="6"/>
    <s v="Tamil Nadu"/>
    <x v="7"/>
    <x v="2"/>
    <n v="1"/>
    <n v="169000"/>
    <n v="3"/>
    <n v="163930"/>
    <n v="19193.68"/>
    <x v="2"/>
    <s v="Cancelled"/>
    <x v="3"/>
    <s v="Yes"/>
  </r>
  <r>
    <s v="RIDEZONE BIKE SHOWROOM"/>
    <x v="709"/>
    <x v="170"/>
    <s v="CUST2710"/>
    <s v="Arun Kumar"/>
    <s v="Female"/>
    <n v="29"/>
    <x v="3"/>
    <s v="Tamil Nadu"/>
    <x v="2"/>
    <x v="1"/>
    <n v="1"/>
    <n v="97000"/>
    <n v="2"/>
    <n v="95060"/>
    <n v="15533.71"/>
    <x v="6"/>
    <s v="Completed"/>
    <x v="0"/>
    <s v="No"/>
  </r>
  <r>
    <s v="RIDEZONE BIKE SHOWROOM"/>
    <x v="710"/>
    <x v="199"/>
    <s v="CUST2711"/>
    <s v=" Santhosh R "/>
    <s v="Male"/>
    <n v="20"/>
    <x v="5"/>
    <s v="Tamil Nadu"/>
    <x v="0"/>
    <x v="1"/>
    <n v="1"/>
    <n v="93000"/>
    <n v="7"/>
    <n v="86490"/>
    <n v="10020.08"/>
    <x v="6"/>
    <s v="Completed"/>
    <x v="4"/>
    <s v="No"/>
  </r>
  <r>
    <s v="RIDEZONE BIKE SHOWROOM"/>
    <x v="711"/>
    <x v="122"/>
    <s v="CUST2712"/>
    <s v="Santhosh R"/>
    <s v="Female"/>
    <n v="48"/>
    <x v="5"/>
    <s v="Tamil Nadu"/>
    <x v="8"/>
    <x v="3"/>
    <n v="1"/>
    <n v="123000"/>
    <n v="0"/>
    <n v="123000"/>
    <n v="22564.07"/>
    <x v="2"/>
    <s v="Cancelled"/>
    <x v="1"/>
    <s v="No"/>
  </r>
  <r>
    <s v="RIDEZONE BIKE SHOWROOM"/>
    <x v="712"/>
    <x v="422"/>
    <s v="CUST2713"/>
    <s v="Karthik Raj"/>
    <s v="Female"/>
    <n v="50"/>
    <x v="3"/>
    <s v="Tamil Nadu"/>
    <x v="9"/>
    <x v="0"/>
    <n v="1"/>
    <n v="85000"/>
    <n v="7"/>
    <n v="79050"/>
    <n v="4849.83"/>
    <x v="1"/>
    <s v="Returned"/>
    <x v="0"/>
    <s v="Yes"/>
  </r>
  <r>
    <s v="RIDEZONE BIKE SHOWROOM"/>
    <x v="713"/>
    <x v="58"/>
    <s v="CUST2714"/>
    <s v="Suresh B"/>
    <s v="Male"/>
    <n v="43"/>
    <x v="6"/>
    <s v="Tamil Nadu"/>
    <x v="4"/>
    <x v="2"/>
    <n v="1"/>
    <n v="126000"/>
    <n v="10"/>
    <n v="113400"/>
    <n v="4599.41"/>
    <x v="4"/>
    <s v="Completed"/>
    <x v="1"/>
    <s v="No"/>
  </r>
  <r>
    <s v="RIDEZONE BIKE SHOWROOM"/>
    <x v="714"/>
    <x v="407"/>
    <s v="CUST2715"/>
    <s v="Divya M"/>
    <s v="Female"/>
    <n v="46"/>
    <x v="5"/>
    <s v="Tamil Nadu"/>
    <x v="1"/>
    <x v="2"/>
    <n v="1"/>
    <n v="117000"/>
    <n v="0"/>
    <n v="113490"/>
    <n v="9762.5499999999993"/>
    <x v="5"/>
    <s v="Cancelled"/>
    <x v="5"/>
    <s v="Yes"/>
  </r>
  <r>
    <s v="RIDEZONE BIKE SHOWROOM"/>
    <x v="715"/>
    <x v="394"/>
    <s v="CUST2716"/>
    <s v="Priya S"/>
    <s v="Female"/>
    <n v="51"/>
    <x v="6"/>
    <s v="Tamil Nadu"/>
    <x v="5"/>
    <x v="2"/>
    <n v="1"/>
    <n v="195000"/>
    <n v="3"/>
    <n v="189150"/>
    <n v="34471.54"/>
    <x v="5"/>
    <s v="Pending"/>
    <x v="1"/>
    <s v="No"/>
  </r>
  <r>
    <s v="RIDEZONE BIKE SHOWROOM"/>
    <x v="716"/>
    <x v="382"/>
    <s v="CUST2717"/>
    <s v="Arun Kumar"/>
    <s v="Female"/>
    <n v="27"/>
    <x v="8"/>
    <s v="Tamil Nadu"/>
    <x v="4"/>
    <x v="3"/>
    <n v="1"/>
    <n v="168000"/>
    <n v="5"/>
    <n v="159600"/>
    <n v="27734.39"/>
    <x v="5"/>
    <s v="Returned"/>
    <x v="1"/>
    <s v="Yes"/>
  </r>
  <r>
    <s v="RIDEZONE BIKE SHOWROOM"/>
    <x v="717"/>
    <x v="413"/>
    <s v="CUST2718"/>
    <s v="Karthik Raj"/>
    <s v="Female"/>
    <n v="29"/>
    <x v="2"/>
    <s v="Tamil Nadu"/>
    <x v="9"/>
    <x v="2"/>
    <n v="1"/>
    <n v="85000"/>
    <n v="7"/>
    <n v="79050"/>
    <n v="5963.67"/>
    <x v="3"/>
    <s v="Returned"/>
    <x v="5"/>
    <s v="Yes"/>
  </r>
  <r>
    <s v="RIDEZONE BIKE SHOWROOM"/>
    <x v="718"/>
    <x v="423"/>
    <s v="CUST2719"/>
    <s v="Vignesh P"/>
    <s v="Male"/>
    <n v="47"/>
    <x v="1"/>
    <s v="Tamil Nadu"/>
    <x v="7"/>
    <x v="3"/>
    <n v="1"/>
    <n v="170000"/>
    <n v="2"/>
    <n v="166600"/>
    <n v="17441.13"/>
    <x v="0"/>
    <s v="Cancelled"/>
    <x v="0"/>
    <s v="No"/>
  </r>
  <r>
    <s v="RIDEZONE BIKE SHOWROOM"/>
    <x v="719"/>
    <x v="359"/>
    <s v="CUST2720"/>
    <s v="Divya M"/>
    <s v="Female"/>
    <n v="32"/>
    <x v="5"/>
    <s v="Tamil Nadu"/>
    <x v="4"/>
    <x v="0"/>
    <n v="1"/>
    <n v="124000"/>
    <n v="3"/>
    <n v="120280"/>
    <n v="21540.92"/>
    <x v="5"/>
    <s v="Returned"/>
    <x v="5"/>
    <s v="Yes"/>
  </r>
  <r>
    <s v="RIDEZONE BIKE SHOWROOM"/>
    <x v="186"/>
    <x v="35"/>
    <s v="CUST2187"/>
    <s v="Vignesh P"/>
    <s v="Female"/>
    <n v="23"/>
    <x v="2"/>
    <s v="Tamil Nadu"/>
    <x v="2"/>
    <x v="2"/>
    <n v="1"/>
    <n v="98000"/>
    <n v="3"/>
    <n v="95060"/>
    <n v="17650.73"/>
    <x v="4"/>
    <s v="Completed"/>
    <x v="3"/>
    <s v="Yes"/>
  </r>
  <r>
    <s v="RIDEZONE BIKE SHOWROOM"/>
    <x v="496"/>
    <x v="115"/>
    <s v="CUST2497"/>
    <s v="Santhosh R"/>
    <s v="Male"/>
    <n v="33"/>
    <x v="1"/>
    <s v="Tamil Nadu"/>
    <x v="9"/>
    <x v="2"/>
    <n v="1"/>
    <n v="83000"/>
    <n v="10"/>
    <n v="74700"/>
    <n v="293.62"/>
    <x v="0"/>
    <s v="Pending"/>
    <x v="4"/>
    <s v="No"/>
  </r>
  <r>
    <s v="RIDEZONE BIKE SHOWROOM"/>
    <x v="320"/>
    <x v="120"/>
    <s v="CUST2321"/>
    <s v=" Divya M "/>
    <s v="Female"/>
    <n v="38"/>
    <x v="1"/>
    <s v="Tamil Nadu"/>
    <x v="5"/>
    <x v="2"/>
    <n v="1"/>
    <n v="195000"/>
    <n v="10"/>
    <n v="175500"/>
    <n v="17794.25"/>
    <x v="6"/>
    <s v="Pending"/>
    <x v="0"/>
    <s v="No"/>
  </r>
  <r>
    <s v="RIDEZONE BIKE SHOWROOM"/>
    <x v="362"/>
    <x v="30"/>
    <s v="CUST2363"/>
    <s v=" Rahul K "/>
    <s v="Male"/>
    <n v="23"/>
    <x v="2"/>
    <s v="Tamil Nadu"/>
    <x v="8"/>
    <x v="2"/>
    <n v="1"/>
    <n v="126000"/>
    <n v="2"/>
    <n v="123480"/>
    <n v="24460.35"/>
    <x v="5"/>
    <s v="Cancelled"/>
    <x v="1"/>
    <s v="Yes"/>
  </r>
  <r>
    <s v="RIDEZONE BIKE SHOWROOM"/>
    <x v="609"/>
    <x v="385"/>
    <s v="CUST2610"/>
    <s v="Karthik Raj"/>
    <s v="Female"/>
    <n v="30"/>
    <x v="6"/>
    <s v="Tamil Nadu"/>
    <x v="9"/>
    <x v="0"/>
    <n v="1"/>
    <n v="83000"/>
    <n v="0"/>
    <n v="83000"/>
    <n v="16976.990000000002"/>
    <x v="6"/>
    <s v="Completed"/>
    <x v="5"/>
    <s v="No"/>
  </r>
  <r>
    <s v="RIDEZONE BIKE SHOWROOM"/>
    <x v="601"/>
    <x v="328"/>
    <s v="CUST2602"/>
    <s v="Vignesh P"/>
    <s v="Female"/>
    <n v="51"/>
    <x v="1"/>
    <s v="Tamil Nadu"/>
    <x v="2"/>
    <x v="2"/>
    <n v="1"/>
    <n v="97000"/>
    <n v="10"/>
    <n v="87300"/>
    <n v="3076.15"/>
    <x v="5"/>
    <s v="Returned"/>
    <x v="1"/>
    <s v="No"/>
  </r>
  <r>
    <s v="RIDEZONE BIKE SHOWROOM"/>
    <x v="659"/>
    <x v="122"/>
    <s v="CUST2660"/>
    <s v="Suresh B"/>
    <s v="Female"/>
    <n v="21"/>
    <x v="1"/>
    <s v="Tamil Nadu"/>
    <x v="5"/>
    <x v="2"/>
    <n v="1"/>
    <n v="193000"/>
    <n v="0"/>
    <n v="193000"/>
    <n v="34059.83"/>
    <x v="6"/>
    <s v="Completed"/>
    <x v="0"/>
    <s v="Yes"/>
  </r>
  <r>
    <s v="RIDEZONE BIKE SHOWROOM"/>
    <x v="259"/>
    <x v="218"/>
    <s v="CUST2260"/>
    <s v="Arun Kumar"/>
    <s v="Male"/>
    <n v="26"/>
    <x v="0"/>
    <s v="Tamil Nadu"/>
    <x v="8"/>
    <x v="1"/>
    <n v="1"/>
    <n v="127000"/>
    <n v="3"/>
    <n v="123190"/>
    <n v="15783.2"/>
    <x v="1"/>
    <s v="Returned"/>
    <x v="4"/>
    <s v="No"/>
  </r>
  <r>
    <s v="RIDEZONE BIKE SHOWROOM"/>
    <x v="561"/>
    <x v="117"/>
    <s v="CUST2562"/>
    <s v="Vignesh P"/>
    <s v="Male"/>
    <n v="24"/>
    <x v="7"/>
    <s v="Tamil Nadu"/>
    <x v="5"/>
    <x v="2"/>
    <n v="1"/>
    <n v="193000"/>
    <n v="2"/>
    <n v="189140"/>
    <n v="26175.75"/>
    <x v="3"/>
    <s v="Cancelled"/>
    <x v="2"/>
    <s v="No"/>
  </r>
  <r>
    <s v="RIDEZONE BIKE SHOWROOM"/>
    <x v="221"/>
    <x v="190"/>
    <s v="CUST2222"/>
    <s v="Divya M"/>
    <s v="Female"/>
    <n v="46"/>
    <x v="7"/>
    <s v="Tamil Nadu"/>
    <x v="6"/>
    <x v="3"/>
    <n v="1"/>
    <n v="233000"/>
    <n v="3"/>
    <n v="226010"/>
    <n v="38522.81"/>
    <x v="3"/>
    <s v="Completed"/>
    <x v="4"/>
    <s v="No"/>
  </r>
  <r>
    <s v="RIDEZONE BIKE SHOWROOM"/>
    <x v="109"/>
    <x v="101"/>
    <s v="CUST2110"/>
    <s v="Priya S"/>
    <s v="Male"/>
    <n v="43"/>
    <x v="9"/>
    <s v="Tamil Nadu"/>
    <x v="6"/>
    <x v="2"/>
    <n v="1"/>
    <n v="233000"/>
    <n v="0"/>
    <n v="233000"/>
    <n v="32493.7"/>
    <x v="2"/>
    <s v="Completed"/>
    <x v="0"/>
    <s v="Yes"/>
  </r>
  <r>
    <s v="RIDEZONE BIKE SHOWROOM"/>
    <x v="57"/>
    <x v="3"/>
    <s v="CUST2058"/>
    <s v="Vignesh P"/>
    <s v="Female"/>
    <n v="37"/>
    <x v="1"/>
    <s v="Tamil Nadu"/>
    <x v="5"/>
    <x v="3"/>
    <n v="2"/>
    <n v="196000"/>
    <n v="10"/>
    <n v="352800"/>
    <n v="5676.49"/>
    <x v="5"/>
    <s v="Cancelled"/>
    <x v="3"/>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B8637-2184-4A18-87CB-05CC48FEF4F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9:B34" firstHeaderRow="1" firstDataRow="1" firstDataCol="1"/>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axis="axisRow" showAll="0">
      <items count="5">
        <item x="0"/>
        <item x="3"/>
        <item x="1"/>
        <item x="2"/>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5">
    <i>
      <x/>
    </i>
    <i>
      <x v="1"/>
    </i>
    <i>
      <x v="2"/>
    </i>
    <i>
      <x v="3"/>
    </i>
    <i t="grand">
      <x/>
    </i>
  </rowItems>
  <colItems count="1">
    <i/>
  </colItems>
  <dataFields count="1">
    <dataField name="Sum of Sales" fld="14" baseField="0" baseItem="0"/>
  </dataFields>
  <chartFormats count="10">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BCFDD-5646-445A-AFF1-182EC731E15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G30:H37" firstHeaderRow="1" firstDataRow="1" firstDataCol="1"/>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showAll="0"/>
    <pivotField dataField="1" showAll="0"/>
    <pivotField showAll="0"/>
    <pivotField showAll="0"/>
    <pivotField axis="axisRow" showAll="0">
      <items count="7">
        <item x="4"/>
        <item x="5"/>
        <item x="0"/>
        <item x="1"/>
        <item x="3"/>
        <item x="2"/>
        <item t="default"/>
      </items>
    </pivotField>
    <pivotField showAll="0"/>
    <pivotField showAll="0" defaultSubtotal="0"/>
    <pivotField showAll="0" defaultSubtotal="0"/>
    <pivotField showAll="0" defaultSubtotal="0">
      <items count="4">
        <item x="0"/>
        <item x="1"/>
        <item x="2"/>
        <item x="3"/>
      </items>
    </pivotField>
  </pivotFields>
  <rowFields count="1">
    <field x="18"/>
  </rowFields>
  <rowItems count="7">
    <i>
      <x/>
    </i>
    <i>
      <x v="1"/>
    </i>
    <i>
      <x v="2"/>
    </i>
    <i>
      <x v="3"/>
    </i>
    <i>
      <x v="4"/>
    </i>
    <i>
      <x v="5"/>
    </i>
    <i t="grand">
      <x/>
    </i>
  </rowItems>
  <colItems count="1">
    <i/>
  </colItems>
  <dataFields count="1">
    <dataField name="Sum of Profit" fld="15" baseField="0" baseItem="0"/>
  </dataField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F5137-0532-4BD6-806E-353D0209295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F4" firstHeaderRow="1" firstDataRow="1" firstDataCol="0"/>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3C4E0-8171-451F-A901-419CF9E06A8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9:E24" firstHeaderRow="1" firstDataRow="1" firstDataCol="1"/>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axis="axisRow" showAll="0" sortType="descending">
      <items count="15">
        <item x="7"/>
        <item x="12"/>
        <item x="4"/>
        <item x="2"/>
        <item x="8"/>
        <item x="3"/>
        <item x="10"/>
        <item x="5"/>
        <item x="0"/>
        <item x="13"/>
        <item x="9"/>
        <item x="1"/>
        <item x="6"/>
        <item x="11"/>
        <item t="default"/>
      </items>
    </pivotField>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15">
    <i>
      <x/>
    </i>
    <i>
      <x v="1"/>
    </i>
    <i>
      <x v="2"/>
    </i>
    <i>
      <x v="3"/>
    </i>
    <i>
      <x v="4"/>
    </i>
    <i>
      <x v="5"/>
    </i>
    <i>
      <x v="6"/>
    </i>
    <i>
      <x v="7"/>
    </i>
    <i>
      <x v="8"/>
    </i>
    <i>
      <x v="9"/>
    </i>
    <i>
      <x v="10"/>
    </i>
    <i>
      <x v="11"/>
    </i>
    <i>
      <x v="12"/>
    </i>
    <i>
      <x v="13"/>
    </i>
    <i t="grand">
      <x/>
    </i>
  </rowItems>
  <colItems count="1">
    <i/>
  </colItems>
  <dataFields count="1">
    <dataField name="Sum of Sales" fld="14" baseField="0" baseItem="0"/>
  </dataFields>
  <chartFormats count="5">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EEAB3-C75B-43D7-B26D-395D3C8B7B6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Sales" fld="14" subtotal="average" baseField="0" baseItem="0" numFmtId="1"/>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173037-423C-4955-A3E6-0E57185BFC4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ED1B9-7C59-41AE-9A14-2070873400F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H4" firstHeaderRow="1" firstDataRow="1" firstDataCol="0"/>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5" baseField="0" baseItem="0" numFmtId="1"/>
  </dataFields>
  <formats count="2">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C1D85E-FA8C-4060-B6E1-38341F68522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30:E40" firstHeaderRow="1" firstDataRow="1" firstDataCol="1"/>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dataField="1" showAll="0"/>
    <pivotField showAll="0"/>
    <pivotField axis="axisRow" showAll="0">
      <items count="10">
        <item x="2"/>
        <item x="0"/>
        <item x="1"/>
        <item x="4"/>
        <item x="5"/>
        <item x="8"/>
        <item x="3"/>
        <item x="6"/>
        <item x="7"/>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6"/>
  </rowFields>
  <rowItems count="10">
    <i>
      <x/>
    </i>
    <i>
      <x v="1"/>
    </i>
    <i>
      <x v="2"/>
    </i>
    <i>
      <x v="3"/>
    </i>
    <i>
      <x v="4"/>
    </i>
    <i>
      <x v="5"/>
    </i>
    <i>
      <x v="6"/>
    </i>
    <i>
      <x v="7"/>
    </i>
    <i>
      <x v="8"/>
    </i>
    <i t="grand">
      <x/>
    </i>
  </rowItems>
  <colItems count="1">
    <i/>
  </colItems>
  <dataFields count="1">
    <dataField name="Sum of Sales" fld="14" baseField="0" baseItem="0"/>
  </dataFields>
  <chartFormats count="18">
    <chartFormat chart="3" format="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6" count="1" selected="0">
            <x v="0"/>
          </reference>
        </references>
      </pivotArea>
    </chartFormat>
    <chartFormat chart="8" format="13">
      <pivotArea type="data" outline="0" fieldPosition="0">
        <references count="2">
          <reference field="4294967294" count="1" selected="0">
            <x v="0"/>
          </reference>
          <reference field="16" count="1" selected="0">
            <x v="1"/>
          </reference>
        </references>
      </pivotArea>
    </chartFormat>
    <chartFormat chart="8" format="14">
      <pivotArea type="data" outline="0" fieldPosition="0">
        <references count="2">
          <reference field="4294967294" count="1" selected="0">
            <x v="0"/>
          </reference>
          <reference field="16" count="1" selected="0">
            <x v="2"/>
          </reference>
        </references>
      </pivotArea>
    </chartFormat>
    <chartFormat chart="8" format="15">
      <pivotArea type="data" outline="0" fieldPosition="0">
        <references count="2">
          <reference field="4294967294" count="1" selected="0">
            <x v="0"/>
          </reference>
          <reference field="16" count="1" selected="0">
            <x v="3"/>
          </reference>
        </references>
      </pivotArea>
    </chartFormat>
    <chartFormat chart="8" format="16">
      <pivotArea type="data" outline="0" fieldPosition="0">
        <references count="2">
          <reference field="4294967294" count="1" selected="0">
            <x v="0"/>
          </reference>
          <reference field="16" count="1" selected="0">
            <x v="4"/>
          </reference>
        </references>
      </pivotArea>
    </chartFormat>
    <chartFormat chart="8" format="17">
      <pivotArea type="data" outline="0" fieldPosition="0">
        <references count="2">
          <reference field="4294967294" count="1" selected="0">
            <x v="0"/>
          </reference>
          <reference field="16" count="1" selected="0">
            <x v="5"/>
          </reference>
        </references>
      </pivotArea>
    </chartFormat>
    <chartFormat chart="8" format="18">
      <pivotArea type="data" outline="0" fieldPosition="0">
        <references count="2">
          <reference field="4294967294" count="1" selected="0">
            <x v="0"/>
          </reference>
          <reference field="16" count="1" selected="0">
            <x v="6"/>
          </reference>
        </references>
      </pivotArea>
    </chartFormat>
    <chartFormat chart="8" format="19">
      <pivotArea type="data" outline="0" fieldPosition="0">
        <references count="2">
          <reference field="4294967294" count="1" selected="0">
            <x v="0"/>
          </reference>
          <reference field="16" count="1" selected="0">
            <x v="7"/>
          </reference>
        </references>
      </pivotArea>
    </chartFormat>
    <chartFormat chart="8" format="20">
      <pivotArea type="data" outline="0" fieldPosition="0">
        <references count="2">
          <reference field="4294967294" count="1" selected="0">
            <x v="0"/>
          </reference>
          <reference field="16" count="1" selected="0">
            <x v="8"/>
          </reference>
        </references>
      </pivotArea>
    </chartFormat>
    <chartFormat chart="3" format="1">
      <pivotArea type="data" outline="0" fieldPosition="0">
        <references count="2">
          <reference field="4294967294" count="1" selected="0">
            <x v="0"/>
          </reference>
          <reference field="16" count="1" selected="0">
            <x v="0"/>
          </reference>
        </references>
      </pivotArea>
    </chartFormat>
    <chartFormat chart="3" format="2">
      <pivotArea type="data" outline="0" fieldPosition="0">
        <references count="2">
          <reference field="4294967294" count="1" selected="0">
            <x v="0"/>
          </reference>
          <reference field="16" count="1" selected="0">
            <x v="1"/>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 chart="3" format="4">
      <pivotArea type="data" outline="0" fieldPosition="0">
        <references count="2">
          <reference field="4294967294" count="1" selected="0">
            <x v="0"/>
          </reference>
          <reference field="16" count="1" selected="0">
            <x v="3"/>
          </reference>
        </references>
      </pivotArea>
    </chartFormat>
    <chartFormat chart="3" format="5">
      <pivotArea type="data" outline="0" fieldPosition="0">
        <references count="2">
          <reference field="4294967294" count="1" selected="0">
            <x v="0"/>
          </reference>
          <reference field="16" count="1" selected="0">
            <x v="4"/>
          </reference>
        </references>
      </pivotArea>
    </chartFormat>
    <chartFormat chart="3" format="6">
      <pivotArea type="data" outline="0" fieldPosition="0">
        <references count="2">
          <reference field="4294967294" count="1" selected="0">
            <x v="0"/>
          </reference>
          <reference field="16" count="1" selected="0">
            <x v="6"/>
          </reference>
        </references>
      </pivotArea>
    </chartFormat>
    <chartFormat chart="3" format="7">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6DEF2C-E052-4794-8BC6-2E3810B17CF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9:B22" firstHeaderRow="1" firstDataRow="1" firstDataCol="1"/>
  <pivotFields count="23">
    <pivotField showAll="0"/>
    <pivotField showAll="0"/>
    <pivotField axis="axisRow"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Sales" fld="14"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E79F8D-BF88-497E-AF91-E7950257902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3">
    <pivotField showAll="0"/>
    <pivotField dataField="1"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FC7D78-5DF9-4EDE-9011-1835BBE9027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9:H26" firstHeaderRow="1" firstDataRow="1" firstDataCol="1"/>
  <pivotFields count="23">
    <pivotField showAll="0"/>
    <pivotField showAll="0"/>
    <pivotField numFmtId="14" showAll="0">
      <items count="425">
        <item x="381"/>
        <item x="15"/>
        <item x="304"/>
        <item x="340"/>
        <item x="355"/>
        <item x="394"/>
        <item x="140"/>
        <item x="245"/>
        <item x="171"/>
        <item x="396"/>
        <item x="123"/>
        <item x="419"/>
        <item x="216"/>
        <item x="267"/>
        <item x="354"/>
        <item x="302"/>
        <item x="406"/>
        <item x="115"/>
        <item x="368"/>
        <item x="54"/>
        <item x="347"/>
        <item x="353"/>
        <item x="131"/>
        <item x="49"/>
        <item x="263"/>
        <item x="202"/>
        <item x="66"/>
        <item x="196"/>
        <item x="22"/>
        <item x="37"/>
        <item x="345"/>
        <item x="80"/>
        <item x="398"/>
        <item x="150"/>
        <item x="128"/>
        <item x="141"/>
        <item x="223"/>
        <item x="282"/>
        <item x="77"/>
        <item x="277"/>
        <item x="217"/>
        <item x="320"/>
        <item x="309"/>
        <item x="213"/>
        <item x="33"/>
        <item x="205"/>
        <item x="5"/>
        <item x="366"/>
        <item x="411"/>
        <item x="3"/>
        <item x="312"/>
        <item x="4"/>
        <item x="134"/>
        <item x="149"/>
        <item x="189"/>
        <item x="14"/>
        <item x="233"/>
        <item x="186"/>
        <item x="417"/>
        <item x="51"/>
        <item x="241"/>
        <item x="166"/>
        <item x="144"/>
        <item x="289"/>
        <item x="159"/>
        <item x="376"/>
        <item x="333"/>
        <item x="351"/>
        <item x="356"/>
        <item x="2"/>
        <item x="13"/>
        <item x="67"/>
        <item x="0"/>
        <item x="367"/>
        <item x="96"/>
        <item x="387"/>
        <item x="209"/>
        <item x="187"/>
        <item x="70"/>
        <item x="268"/>
        <item x="276"/>
        <item x="38"/>
        <item x="25"/>
        <item x="203"/>
        <item x="124"/>
        <item x="39"/>
        <item x="380"/>
        <item x="295"/>
        <item x="194"/>
        <item x="291"/>
        <item x="348"/>
        <item x="160"/>
        <item x="352"/>
        <item x="62"/>
        <item x="364"/>
        <item x="305"/>
        <item x="50"/>
        <item x="307"/>
        <item x="110"/>
        <item x="308"/>
        <item x="92"/>
        <item x="238"/>
        <item x="30"/>
        <item x="201"/>
        <item x="262"/>
        <item x="208"/>
        <item x="88"/>
        <item x="56"/>
        <item x="371"/>
        <item x="278"/>
        <item x="163"/>
        <item x="212"/>
        <item x="107"/>
        <item x="373"/>
        <item x="386"/>
        <item x="35"/>
        <item x="399"/>
        <item x="137"/>
        <item x="390"/>
        <item x="84"/>
        <item x="182"/>
        <item x="183"/>
        <item x="250"/>
        <item x="328"/>
        <item x="301"/>
        <item x="384"/>
        <item x="335"/>
        <item x="211"/>
        <item x="46"/>
        <item x="392"/>
        <item x="261"/>
        <item x="190"/>
        <item x="98"/>
        <item x="395"/>
        <item x="44"/>
        <item x="247"/>
        <item x="253"/>
        <item x="29"/>
        <item x="283"/>
        <item x="251"/>
        <item x="20"/>
        <item x="135"/>
        <item x="332"/>
        <item x="385"/>
        <item x="48"/>
        <item x="221"/>
        <item x="162"/>
        <item x="75"/>
        <item x="391"/>
        <item x="249"/>
        <item x="227"/>
        <item x="272"/>
        <item x="130"/>
        <item x="118"/>
        <item x="420"/>
        <item x="24"/>
        <item x="11"/>
        <item x="138"/>
        <item x="343"/>
        <item x="232"/>
        <item x="297"/>
        <item x="314"/>
        <item x="378"/>
        <item x="167"/>
        <item x="133"/>
        <item x="41"/>
        <item x="331"/>
        <item x="179"/>
        <item x="310"/>
        <item x="47"/>
        <item x="393"/>
        <item x="59"/>
        <item x="207"/>
        <item x="210"/>
        <item x="248"/>
        <item x="169"/>
        <item x="318"/>
        <item x="338"/>
        <item x="191"/>
        <item x="337"/>
        <item x="146"/>
        <item x="120"/>
        <item x="220"/>
        <item x="32"/>
        <item x="42"/>
        <item x="161"/>
        <item x="225"/>
        <item x="181"/>
        <item x="382"/>
        <item x="288"/>
        <item x="317"/>
        <item x="112"/>
        <item x="404"/>
        <item x="57"/>
        <item x="79"/>
        <item x="286"/>
        <item x="55"/>
        <item x="185"/>
        <item x="27"/>
        <item x="228"/>
        <item x="412"/>
        <item x="164"/>
        <item x="132"/>
        <item x="226"/>
        <item x="60"/>
        <item x="330"/>
        <item x="365"/>
        <item x="311"/>
        <item x="100"/>
        <item x="9"/>
        <item x="111"/>
        <item x="89"/>
        <item x="341"/>
        <item x="363"/>
        <item x="16"/>
        <item x="18"/>
        <item x="106"/>
        <item x="114"/>
        <item x="172"/>
        <item x="28"/>
        <item x="72"/>
        <item x="252"/>
        <item x="316"/>
        <item x="279"/>
        <item x="290"/>
        <item x="23"/>
        <item x="82"/>
        <item x="85"/>
        <item x="122"/>
        <item x="184"/>
        <item x="271"/>
        <item x="264"/>
        <item x="344"/>
        <item x="87"/>
        <item x="204"/>
        <item x="152"/>
        <item x="299"/>
        <item x="155"/>
        <item x="91"/>
        <item x="34"/>
        <item x="324"/>
        <item x="418"/>
        <item x="68"/>
        <item x="236"/>
        <item x="374"/>
        <item x="113"/>
        <item x="313"/>
        <item x="224"/>
        <item x="342"/>
        <item x="388"/>
        <item x="65"/>
        <item x="74"/>
        <item x="218"/>
        <item x="200"/>
        <item x="372"/>
        <item x="306"/>
        <item x="265"/>
        <item x="360"/>
        <item x="293"/>
        <item x="281"/>
        <item x="7"/>
        <item x="294"/>
        <item x="339"/>
        <item x="83"/>
        <item x="403"/>
        <item x="423"/>
        <item x="156"/>
        <item x="142"/>
        <item x="300"/>
        <item x="407"/>
        <item x="86"/>
        <item x="175"/>
        <item x="119"/>
        <item x="61"/>
        <item x="64"/>
        <item x="375"/>
        <item x="73"/>
        <item x="246"/>
        <item x="71"/>
        <item x="206"/>
        <item x="43"/>
        <item x="101"/>
        <item x="176"/>
        <item x="242"/>
        <item x="349"/>
        <item x="239"/>
        <item x="165"/>
        <item x="243"/>
        <item x="346"/>
        <item x="270"/>
        <item x="377"/>
        <item x="1"/>
        <item x="129"/>
        <item x="405"/>
        <item x="222"/>
        <item x="10"/>
        <item x="326"/>
        <item x="414"/>
        <item x="6"/>
        <item x="336"/>
        <item x="78"/>
        <item x="58"/>
        <item x="153"/>
        <item x="168"/>
        <item x="229"/>
        <item x="26"/>
        <item x="415"/>
        <item x="19"/>
        <item x="116"/>
        <item x="21"/>
        <item x="321"/>
        <item x="104"/>
        <item x="244"/>
        <item x="370"/>
        <item x="102"/>
        <item x="157"/>
        <item x="177"/>
        <item x="127"/>
        <item x="36"/>
        <item x="170"/>
        <item x="198"/>
        <item x="97"/>
        <item x="40"/>
        <item x="81"/>
        <item x="148"/>
        <item x="53"/>
        <item x="408"/>
        <item x="416"/>
        <item x="409"/>
        <item x="303"/>
        <item x="266"/>
        <item x="136"/>
        <item x="285"/>
        <item x="257"/>
        <item x="199"/>
        <item x="193"/>
        <item x="323"/>
        <item x="117"/>
        <item x="237"/>
        <item x="90"/>
        <item x="292"/>
        <item x="383"/>
        <item x="287"/>
        <item x="315"/>
        <item x="269"/>
        <item x="334"/>
        <item x="389"/>
        <item x="105"/>
        <item x="52"/>
        <item x="99"/>
        <item x="319"/>
        <item x="8"/>
        <item x="325"/>
        <item x="240"/>
        <item x="361"/>
        <item x="255"/>
        <item x="284"/>
        <item x="362"/>
        <item x="94"/>
        <item x="197"/>
        <item x="103"/>
        <item x="327"/>
        <item x="256"/>
        <item x="259"/>
        <item x="274"/>
        <item x="400"/>
        <item x="298"/>
        <item x="93"/>
        <item x="139"/>
        <item x="379"/>
        <item x="421"/>
        <item x="45"/>
        <item x="121"/>
        <item x="195"/>
        <item x="154"/>
        <item x="230"/>
        <item x="63"/>
        <item x="329"/>
        <item x="180"/>
        <item x="95"/>
        <item x="109"/>
        <item x="174"/>
        <item x="126"/>
        <item x="260"/>
        <item x="215"/>
        <item x="173"/>
        <item x="359"/>
        <item x="76"/>
        <item x="214"/>
        <item x="31"/>
        <item x="413"/>
        <item x="192"/>
        <item x="69"/>
        <item x="235"/>
        <item x="231"/>
        <item x="254"/>
        <item x="369"/>
        <item x="17"/>
        <item x="12"/>
        <item x="275"/>
        <item x="158"/>
        <item x="178"/>
        <item x="273"/>
        <item x="188"/>
        <item x="350"/>
        <item x="401"/>
        <item x="358"/>
        <item x="219"/>
        <item x="151"/>
        <item x="234"/>
        <item x="322"/>
        <item x="258"/>
        <item x="108"/>
        <item x="357"/>
        <item x="147"/>
        <item x="143"/>
        <item x="422"/>
        <item x="145"/>
        <item x="402"/>
        <item x="410"/>
        <item x="397"/>
        <item x="296"/>
        <item x="280"/>
        <item x="125"/>
        <item t="default"/>
      </items>
    </pivotField>
    <pivotField showAll="0"/>
    <pivotField showAll="0"/>
    <pivotField showAll="0"/>
    <pivotField showAll="0"/>
    <pivotField axis="axisRow" showAll="0">
      <items count="17">
        <item x="8"/>
        <item x="11"/>
        <item x="0"/>
        <item x="12"/>
        <item x="6"/>
        <item x="13"/>
        <item x="3"/>
        <item x="15"/>
        <item x="5"/>
        <item x="10"/>
        <item x="1"/>
        <item x="4"/>
        <item x="7"/>
        <item x="9"/>
        <item x="2"/>
        <item x="14"/>
        <item t="default"/>
      </items>
    </pivotField>
    <pivotField showAll="0"/>
    <pivotField showAll="0">
      <items count="15">
        <item x="11"/>
        <item x="6"/>
        <item x="1"/>
        <item x="9"/>
        <item x="13"/>
        <item x="0"/>
        <item x="5"/>
        <item x="10"/>
        <item x="3"/>
        <item x="8"/>
        <item x="2"/>
        <item x="4"/>
        <item x="12"/>
        <item x="7"/>
        <item t="default"/>
      </items>
    </pivotField>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Sum of Quantity"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01DE3E-6877-4D0F-9570-DE2929DAD48B}" autoFormatId="16" applyNumberFormats="0" applyBorderFormats="0" applyFontFormats="0" applyPatternFormats="0" applyAlignmentFormats="0" applyWidthHeightFormats="0">
  <queryTableRefresh nextId="21">
    <queryTableFields count="20">
      <queryTableField id="1" name="Showroom_Name" tableColumnId="1"/>
      <queryTableField id="2" name="Order_ID" tableColumnId="2"/>
      <queryTableField id="3" name="Order_Date" tableColumnId="3"/>
      <queryTableField id="4" name="Customer_ID" tableColumnId="4"/>
      <queryTableField id="5" name="Customer_Name" tableColumnId="5"/>
      <queryTableField id="6" name="Gender" tableColumnId="6"/>
      <queryTableField id="7" name="Age" tableColumnId="7"/>
      <queryTableField id="8" name="City" tableColumnId="8"/>
      <queryTableField id="9" name="State" tableColumnId="9"/>
      <queryTableField id="10" name="Bike_Model" tableColumnId="10"/>
      <queryTableField id="11" name="Bike_Category" tableColumnId="11"/>
      <queryTableField id="12" name="Quantity" tableColumnId="12"/>
      <queryTableField id="13" name="Unit_Price" tableColumnId="13"/>
      <queryTableField id="14" name="Discount_Percent" tableColumnId="14"/>
      <queryTableField id="15" name="Sales" tableColumnId="15"/>
      <queryTableField id="16" name="Profit" tableColumnId="16"/>
      <queryTableField id="17" name="Payment_Mode" tableColumnId="17"/>
      <queryTableField id="18" name="Order_Status" tableColumnId="18"/>
      <queryTableField id="19" name="Salesperson" tableColumnId="19"/>
      <queryTableField id="20" name="Insuranc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DC43696-8F98-4080-80F1-F62EECC1AC6B}" sourceName="City">
  <pivotTables>
    <pivotTable tabId="3" name="PivotTable9"/>
    <pivotTable tabId="3" name="PivotTable1"/>
    <pivotTable tabId="3" name="PivotTable10"/>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686948256">
      <items count="16">
        <i x="8" s="1"/>
        <i x="11" s="1"/>
        <i x="0" s="1"/>
        <i x="12" s="1"/>
        <i x="6" s="1"/>
        <i x="13" s="1"/>
        <i x="3" s="1"/>
        <i x="15" s="1"/>
        <i x="5" s="1"/>
        <i x="10" s="1"/>
        <i x="1" s="1"/>
        <i x="4" s="1"/>
        <i x="7" s="1"/>
        <i x="9" s="1"/>
        <i x="2"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ke_Model" xr10:uid="{CA55D575-F07C-4F46-B710-31E9306FA19D}" sourceName="Bike_Model">
  <pivotTables>
    <pivotTable tabId="3" name="PivotTable3"/>
    <pivotTable tabId="3" name="PivotTable1"/>
    <pivotTable tabId="3" name="PivotTable10"/>
    <pivotTable tabId="3" name="PivotTable12"/>
    <pivotTable tabId="3" name="PivotTable2"/>
    <pivotTable tabId="3" name="PivotTable4"/>
    <pivotTable tabId="3" name="PivotTable5"/>
    <pivotTable tabId="3" name="PivotTable6"/>
    <pivotTable tabId="3" name="PivotTable7"/>
    <pivotTable tabId="3" name="PivotTable8"/>
    <pivotTable tabId="3" name="PivotTable9"/>
  </pivotTables>
  <data>
    <tabular pivotCacheId="686948256">
      <items count="14">
        <i x="6" s="1"/>
        <i x="9" s="1"/>
        <i x="0" s="1"/>
        <i x="5" s="1"/>
        <i x="10" s="1"/>
        <i x="3" s="1"/>
        <i x="8" s="1"/>
        <i x="2" s="1"/>
        <i x="4" s="1"/>
        <i x="7" s="1"/>
        <i x="11" s="1" nd="1"/>
        <i x="1" s="1" nd="1"/>
        <i x="13"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00D8730-64E3-4A10-B906-E7F570647E86}" cache="Slicer_City" caption="City" rowHeight="257175"/>
  <slicer name="Bike_Model" xr10:uid="{F05B3294-03A1-4EE2-87C5-1CCE918797AD}" cache="Slicer_Bike_Model" caption="Bike_Mode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241136F-3ABA-4B75-8AD9-8C8C4F5728DF}" cache="Slicer_City" caption="City" style="SlicerStyleLight2" rowHeight="257175"/>
  <slicer name="Bike_Model 1" xr10:uid="{22F74535-C807-40A2-B504-F0D7188BBDD1}" cache="Slicer_Bike_Model" caption="Bike_Model"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84E59B-E7F9-4824-8063-E93D4DF5753D}" name="Ridezone_Raw_Data" displayName="Ridezone_Raw_Data" ref="A1:T733" tableType="queryTable" totalsRowShown="0">
  <autoFilter ref="A1:T733" xr:uid="{8F84E59B-E7F9-4824-8063-E93D4DF5753D}"/>
  <tableColumns count="20">
    <tableColumn id="1" xr3:uid="{D1CC089F-37DA-4D61-9B0E-4D7582B34B59}" uniqueName="1" name="Showroom_Name" queryTableFieldId="1" dataDxfId="25"/>
    <tableColumn id="2" xr3:uid="{A4A74476-2E8D-4513-9EFE-90B69BE56B65}" uniqueName="2" name="Order_ID" queryTableFieldId="2" dataDxfId="24"/>
    <tableColumn id="3" xr3:uid="{38DC6ADF-87F6-4299-BCF4-B200E35010B1}" uniqueName="3" name="Order_Date" queryTableFieldId="3" dataDxfId="23"/>
    <tableColumn id="4" xr3:uid="{0EC2FC37-8031-4B0B-AACB-1E6D21BA1243}" uniqueName="4" name="Customer_ID" queryTableFieldId="4" dataDxfId="22"/>
    <tableColumn id="5" xr3:uid="{B9185CF4-AB6F-43BC-AFFD-0FCA01190C16}" uniqueName="5" name="Customer_Name" queryTableFieldId="5" dataDxfId="21"/>
    <tableColumn id="6" xr3:uid="{F4852C5E-903B-48A7-A9D6-EBD74A11ED49}" uniqueName="6" name="Gender" queryTableFieldId="6" dataDxfId="20"/>
    <tableColumn id="7" xr3:uid="{711C27A9-5708-49B4-817F-04A78DAE7239}" uniqueName="7" name="Age" queryTableFieldId="7"/>
    <tableColumn id="8" xr3:uid="{382EC4C1-CF3E-44DB-B176-1373E16510B2}" uniqueName="8" name="City" queryTableFieldId="8" dataDxfId="19"/>
    <tableColumn id="9" xr3:uid="{3F02A317-19DC-4D0E-A80D-20E7516C24F9}" uniqueName="9" name="State" queryTableFieldId="9" dataDxfId="18"/>
    <tableColumn id="10" xr3:uid="{F1D4BD01-17FE-43E7-AA66-0DE135EC1919}" uniqueName="10" name="Bike_Model" queryTableFieldId="10" dataDxfId="17"/>
    <tableColumn id="11" xr3:uid="{7A04CF22-2595-4068-B32D-DB6C37FDC908}" uniqueName="11" name="Bike_Category" queryTableFieldId="11" dataDxfId="16"/>
    <tableColumn id="12" xr3:uid="{EBC75EC8-6AD2-4CB0-A6EF-BF6BF8886D16}" uniqueName="12" name="Quantity" queryTableFieldId="12"/>
    <tableColumn id="13" xr3:uid="{E4C0010F-600B-42F9-B377-811E8286904F}" uniqueName="13" name="Unit_Price" queryTableFieldId="13"/>
    <tableColumn id="14" xr3:uid="{5631D4E3-8BC3-4276-BD83-E7214F0CBCD6}" uniqueName="14" name="Discount_Percent" queryTableFieldId="14"/>
    <tableColumn id="15" xr3:uid="{8AAAE003-73FA-4990-BBF3-3E14344530FC}" uniqueName="15" name="Sales" queryTableFieldId="15"/>
    <tableColumn id="16" xr3:uid="{DC22E0EC-1996-4CAB-B34C-F3B8A0A4D219}" uniqueName="16" name="Profit" queryTableFieldId="16"/>
    <tableColumn id="17" xr3:uid="{6CC5E77C-3AFE-4681-8128-98CBE1C7D1B3}" uniqueName="17" name="Payment_Mode" queryTableFieldId="17" dataDxfId="15"/>
    <tableColumn id="18" xr3:uid="{E7DCFC1B-0765-4B93-8D94-CCDE10D89EF1}" uniqueName="18" name="Order_Status" queryTableFieldId="18" dataDxfId="14"/>
    <tableColumn id="19" xr3:uid="{7476F168-EEDB-4062-902C-67F7FA60447D}" uniqueName="19" name="Salesperson" queryTableFieldId="19" dataDxfId="13"/>
    <tableColumn id="20" xr3:uid="{66ED683A-8430-4683-877B-19254A0868E9}" uniqueName="20" name="Insurance" queryTableFieldId="20"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FD72847-E2A3-43E9-8F01-E9209D7A1369}" sourceName="Order_Date">
  <pivotTables>
    <pivotTable tabId="3" name="PivotTable9"/>
    <pivotTable tabId="3" name="PivotTable1"/>
    <pivotTable tabId="3" name="PivotTable10"/>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68694825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BF07CB4-0014-4B14-873F-323F7E2211CC}" cache="NativeTimeline_Order_Date" caption="Order_Date" level="2" selectionLevel="2" scrollPosition="2026-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D14A459-7AC9-45AD-AB96-4D0AED4C2F7C}" cache="NativeTimeline_Order_Date" caption="Order_Date" level="2" selectionLevel="2" scrollPosition="2026-05-18T00:00:00" style="TimeSlicerStyleLight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6167-73EE-46C5-9831-81616661EFE9}">
  <dimension ref="A3:J40"/>
  <sheetViews>
    <sheetView topLeftCell="M2" zoomScale="75" workbookViewId="0">
      <selection activeCell="G30" sqref="G30"/>
    </sheetView>
  </sheetViews>
  <sheetFormatPr defaultRowHeight="15" x14ac:dyDescent="0.25"/>
  <cols>
    <col min="1" max="1" width="14" bestFit="1" customWidth="1"/>
    <col min="2" max="2" width="12.5703125" bestFit="1" customWidth="1"/>
    <col min="3" max="3" width="17.5703125" bestFit="1" customWidth="1"/>
    <col min="4" max="4" width="23.42578125" bestFit="1" customWidth="1"/>
    <col min="5" max="5" width="12.5703125" bestFit="1" customWidth="1"/>
    <col min="6" max="6" width="15.5703125" bestFit="1" customWidth="1"/>
    <col min="7" max="7" width="14" bestFit="1" customWidth="1"/>
    <col min="8" max="8" width="13.7109375" bestFit="1" customWidth="1"/>
    <col min="10" max="10" width="15.85546875" bestFit="1" customWidth="1"/>
  </cols>
  <sheetData>
    <row r="3" spans="1:10" x14ac:dyDescent="0.25">
      <c r="A3" t="s">
        <v>1541</v>
      </c>
      <c r="C3" t="s">
        <v>1544</v>
      </c>
      <c r="E3" s="2"/>
      <c r="F3" t="s">
        <v>1545</v>
      </c>
      <c r="H3" s="6" t="s">
        <v>1546</v>
      </c>
      <c r="J3" t="s">
        <v>1547</v>
      </c>
    </row>
    <row r="4" spans="1:10" x14ac:dyDescent="0.25">
      <c r="A4" s="10">
        <v>115431890</v>
      </c>
      <c r="C4" s="10">
        <v>732</v>
      </c>
      <c r="F4" s="10">
        <v>838</v>
      </c>
      <c r="H4" s="5">
        <v>14056698.939999994</v>
      </c>
      <c r="J4" s="5">
        <v>157693.83879781421</v>
      </c>
    </row>
    <row r="5" spans="1:10" x14ac:dyDescent="0.25">
      <c r="A5" s="7">
        <f>GETPIVOTDATA("Sales",$A$3)</f>
        <v>115431890</v>
      </c>
      <c r="C5">
        <f>GETPIVOTDATA("Order_ID",$C$3)</f>
        <v>732</v>
      </c>
      <c r="F5">
        <f>GETPIVOTDATA("Quantity",$F$3)</f>
        <v>838</v>
      </c>
      <c r="H5" s="8">
        <f>GETPIVOTDATA("Profit",$H$3)</f>
        <v>14056698.939999994</v>
      </c>
      <c r="J5" s="9">
        <f>GETPIVOTDATA("Sales",$J$3)</f>
        <v>157693.83879781421</v>
      </c>
    </row>
    <row r="6" spans="1:10" x14ac:dyDescent="0.25">
      <c r="C6" s="8"/>
    </row>
    <row r="9" spans="1:10" x14ac:dyDescent="0.25">
      <c r="A9" s="3" t="s">
        <v>1542</v>
      </c>
      <c r="B9" t="s">
        <v>1541</v>
      </c>
      <c r="D9" s="3" t="s">
        <v>1542</v>
      </c>
      <c r="E9" t="s">
        <v>1541</v>
      </c>
      <c r="G9" s="3" t="s">
        <v>1542</v>
      </c>
      <c r="H9" t="s">
        <v>1545</v>
      </c>
    </row>
    <row r="10" spans="1:10" x14ac:dyDescent="0.25">
      <c r="A10" s="4" t="s">
        <v>1548</v>
      </c>
      <c r="B10" s="10">
        <v>11915800</v>
      </c>
      <c r="D10" s="4" t="s">
        <v>104</v>
      </c>
      <c r="E10" s="10">
        <v>12568630</v>
      </c>
      <c r="G10" s="4" t="s">
        <v>108</v>
      </c>
      <c r="H10" s="10">
        <v>73</v>
      </c>
    </row>
    <row r="11" spans="1:10" x14ac:dyDescent="0.25">
      <c r="A11" s="4" t="s">
        <v>1549</v>
      </c>
      <c r="B11" s="10">
        <v>13743770</v>
      </c>
      <c r="D11" s="4" t="s">
        <v>237</v>
      </c>
      <c r="E11" s="10">
        <v>1000910</v>
      </c>
      <c r="G11" s="4" t="s">
        <v>197</v>
      </c>
      <c r="H11" s="10">
        <v>7</v>
      </c>
    </row>
    <row r="12" spans="1:10" x14ac:dyDescent="0.25">
      <c r="A12" s="4" t="s">
        <v>1550</v>
      </c>
      <c r="B12" s="10">
        <v>12864010</v>
      </c>
      <c r="D12" s="4" t="s">
        <v>64</v>
      </c>
      <c r="E12" s="10">
        <v>11876270</v>
      </c>
      <c r="G12" s="4" t="s">
        <v>25</v>
      </c>
      <c r="H12" s="10">
        <v>97</v>
      </c>
    </row>
    <row r="13" spans="1:10" x14ac:dyDescent="0.25">
      <c r="A13" s="4" t="s">
        <v>1551</v>
      </c>
      <c r="B13" s="10">
        <v>11596420</v>
      </c>
      <c r="D13" s="4" t="s">
        <v>45</v>
      </c>
      <c r="E13" s="10">
        <v>7622080</v>
      </c>
      <c r="G13" s="4" t="s">
        <v>210</v>
      </c>
      <c r="H13" s="10">
        <v>6</v>
      </c>
    </row>
    <row r="14" spans="1:10" x14ac:dyDescent="0.25">
      <c r="A14" s="4" t="s">
        <v>1552</v>
      </c>
      <c r="B14" s="10">
        <v>9738040</v>
      </c>
      <c r="D14" s="4" t="s">
        <v>111</v>
      </c>
      <c r="E14" s="10">
        <v>9592870</v>
      </c>
      <c r="G14" s="4" t="s">
        <v>85</v>
      </c>
      <c r="H14" s="10">
        <v>114</v>
      </c>
    </row>
    <row r="15" spans="1:10" x14ac:dyDescent="0.25">
      <c r="A15" s="4" t="s">
        <v>1553</v>
      </c>
      <c r="B15" s="10">
        <v>9250730</v>
      </c>
      <c r="D15" s="4" t="s">
        <v>57</v>
      </c>
      <c r="E15" s="10">
        <v>13726460</v>
      </c>
      <c r="G15" s="4" t="s">
        <v>339</v>
      </c>
      <c r="H15" s="10">
        <v>3</v>
      </c>
    </row>
    <row r="16" spans="1:10" x14ac:dyDescent="0.25">
      <c r="A16" s="4" t="s">
        <v>1554</v>
      </c>
      <c r="B16" s="10">
        <v>11897340</v>
      </c>
      <c r="D16" s="4" t="s">
        <v>158</v>
      </c>
      <c r="E16" s="10">
        <v>424600</v>
      </c>
      <c r="G16" s="4" t="s">
        <v>56</v>
      </c>
      <c r="H16" s="10">
        <v>100</v>
      </c>
    </row>
    <row r="17" spans="1:8" x14ac:dyDescent="0.25">
      <c r="A17" s="4" t="s">
        <v>1555</v>
      </c>
      <c r="B17" s="10">
        <v>9354980</v>
      </c>
      <c r="D17" s="4" t="s">
        <v>77</v>
      </c>
      <c r="E17" s="10">
        <v>15020530</v>
      </c>
      <c r="G17" s="4" t="s">
        <v>1432</v>
      </c>
      <c r="H17" s="10">
        <v>1</v>
      </c>
    </row>
    <row r="18" spans="1:8" x14ac:dyDescent="0.25">
      <c r="A18" s="4" t="s">
        <v>1556</v>
      </c>
      <c r="B18" s="10">
        <v>7801450</v>
      </c>
      <c r="D18" s="4" t="s">
        <v>27</v>
      </c>
      <c r="E18" s="10">
        <v>8231540</v>
      </c>
      <c r="G18" s="4" t="s">
        <v>73</v>
      </c>
      <c r="H18" s="10">
        <v>112</v>
      </c>
    </row>
    <row r="19" spans="1:8" x14ac:dyDescent="0.25">
      <c r="A19" s="4" t="s">
        <v>1557</v>
      </c>
      <c r="B19" s="10">
        <v>6117910</v>
      </c>
      <c r="D19" s="4" t="s">
        <v>451</v>
      </c>
      <c r="E19" s="10">
        <v>299550</v>
      </c>
      <c r="G19" s="4" t="s">
        <v>194</v>
      </c>
      <c r="H19" s="10">
        <v>4</v>
      </c>
    </row>
    <row r="20" spans="1:8" x14ac:dyDescent="0.25">
      <c r="A20" s="4" t="s">
        <v>1558</v>
      </c>
      <c r="B20" s="10">
        <v>5216010</v>
      </c>
      <c r="D20" s="4" t="s">
        <v>118</v>
      </c>
      <c r="E20" s="10">
        <v>5825980</v>
      </c>
      <c r="G20" s="4" t="s">
        <v>44</v>
      </c>
      <c r="H20" s="10">
        <v>105</v>
      </c>
    </row>
    <row r="21" spans="1:8" x14ac:dyDescent="0.25">
      <c r="A21" s="4" t="s">
        <v>1559</v>
      </c>
      <c r="B21" s="10">
        <v>5935430</v>
      </c>
      <c r="D21" s="4" t="s">
        <v>36</v>
      </c>
      <c r="E21" s="10">
        <v>9991790</v>
      </c>
      <c r="G21" s="4" t="s">
        <v>67</v>
      </c>
      <c r="H21" s="10">
        <v>4</v>
      </c>
    </row>
    <row r="22" spans="1:8" x14ac:dyDescent="0.25">
      <c r="A22" s="4" t="s">
        <v>1543</v>
      </c>
      <c r="B22" s="10">
        <v>115431890</v>
      </c>
      <c r="D22" s="4" t="s">
        <v>81</v>
      </c>
      <c r="E22" s="10">
        <v>17858350</v>
      </c>
      <c r="G22" s="4" t="s">
        <v>95</v>
      </c>
      <c r="H22" s="10">
        <v>99</v>
      </c>
    </row>
    <row r="23" spans="1:8" x14ac:dyDescent="0.25">
      <c r="D23" s="4" t="s">
        <v>213</v>
      </c>
      <c r="E23" s="10">
        <v>1392330</v>
      </c>
      <c r="G23" s="4" t="s">
        <v>191</v>
      </c>
      <c r="H23" s="10">
        <v>5</v>
      </c>
    </row>
    <row r="24" spans="1:8" x14ac:dyDescent="0.25">
      <c r="D24" s="4" t="s">
        <v>1543</v>
      </c>
      <c r="E24" s="10">
        <v>115431890</v>
      </c>
      <c r="G24" s="4" t="s">
        <v>51</v>
      </c>
      <c r="H24" s="10">
        <v>107</v>
      </c>
    </row>
    <row r="25" spans="1:8" x14ac:dyDescent="0.25">
      <c r="G25" s="4" t="s">
        <v>1087</v>
      </c>
      <c r="H25" s="10">
        <v>1</v>
      </c>
    </row>
    <row r="26" spans="1:8" x14ac:dyDescent="0.25">
      <c r="G26" s="4" t="s">
        <v>1543</v>
      </c>
      <c r="H26" s="10">
        <v>838</v>
      </c>
    </row>
    <row r="29" spans="1:8" x14ac:dyDescent="0.25">
      <c r="A29" s="3" t="s">
        <v>1542</v>
      </c>
      <c r="B29" t="s">
        <v>1541</v>
      </c>
    </row>
    <row r="30" spans="1:8" x14ac:dyDescent="0.25">
      <c r="A30" s="4" t="s">
        <v>28</v>
      </c>
      <c r="B30" s="10">
        <v>30327970</v>
      </c>
      <c r="D30" s="3" t="s">
        <v>1542</v>
      </c>
      <c r="E30" t="s">
        <v>1541</v>
      </c>
      <c r="G30" s="3" t="s">
        <v>1542</v>
      </c>
      <c r="H30" t="s">
        <v>1546</v>
      </c>
    </row>
    <row r="31" spans="1:8" x14ac:dyDescent="0.25">
      <c r="A31" s="4" t="s">
        <v>101</v>
      </c>
      <c r="B31" s="10">
        <v>25565930</v>
      </c>
      <c r="D31" s="4" t="s">
        <v>46</v>
      </c>
      <c r="E31" s="10">
        <v>15136080</v>
      </c>
      <c r="G31" s="4" t="s">
        <v>69</v>
      </c>
      <c r="H31" s="10">
        <v>2494755.330000001</v>
      </c>
    </row>
    <row r="32" spans="1:8" x14ac:dyDescent="0.25">
      <c r="A32" s="4" t="s">
        <v>58</v>
      </c>
      <c r="B32" s="10">
        <v>32288460</v>
      </c>
      <c r="D32" s="4" t="s">
        <v>29</v>
      </c>
      <c r="E32" s="10">
        <v>5378590</v>
      </c>
      <c r="G32" s="4" t="s">
        <v>87</v>
      </c>
      <c r="H32" s="10">
        <v>2262032.0500000003</v>
      </c>
    </row>
    <row r="33" spans="1:8" x14ac:dyDescent="0.25">
      <c r="A33" s="4" t="s">
        <v>68</v>
      </c>
      <c r="B33" s="10">
        <v>27249530</v>
      </c>
      <c r="D33" s="4" t="s">
        <v>37</v>
      </c>
      <c r="E33" s="10">
        <v>13483720</v>
      </c>
      <c r="G33" s="4" t="s">
        <v>31</v>
      </c>
      <c r="H33" s="10">
        <v>2517908.669999999</v>
      </c>
    </row>
    <row r="34" spans="1:8" x14ac:dyDescent="0.25">
      <c r="A34" s="4" t="s">
        <v>1543</v>
      </c>
      <c r="B34" s="10">
        <v>115431890</v>
      </c>
      <c r="D34" s="4" t="s">
        <v>59</v>
      </c>
      <c r="E34" s="10">
        <v>11770910</v>
      </c>
      <c r="G34" s="4" t="s">
        <v>39</v>
      </c>
      <c r="H34" s="10">
        <v>2324104.2600000007</v>
      </c>
    </row>
    <row r="35" spans="1:8" x14ac:dyDescent="0.25">
      <c r="D35" s="4" t="s">
        <v>74</v>
      </c>
      <c r="E35" s="10">
        <v>26895360</v>
      </c>
      <c r="G35" s="4" t="s">
        <v>61</v>
      </c>
      <c r="H35" s="10">
        <v>2257295.84</v>
      </c>
    </row>
    <row r="36" spans="1:8" x14ac:dyDescent="0.25">
      <c r="D36" s="4" t="s">
        <v>906</v>
      </c>
      <c r="E36" s="10">
        <v>816690</v>
      </c>
      <c r="G36" s="4" t="s">
        <v>47</v>
      </c>
      <c r="H36" s="10">
        <v>2200602.79</v>
      </c>
    </row>
    <row r="37" spans="1:8" x14ac:dyDescent="0.25">
      <c r="D37" s="4" t="s">
        <v>52</v>
      </c>
      <c r="E37" s="10">
        <v>14103140</v>
      </c>
      <c r="G37" s="4" t="s">
        <v>1543</v>
      </c>
      <c r="H37" s="10">
        <v>14056698.940000001</v>
      </c>
    </row>
    <row r="38" spans="1:8" x14ac:dyDescent="0.25">
      <c r="D38" s="4" t="s">
        <v>82</v>
      </c>
      <c r="E38" s="10">
        <v>26831610</v>
      </c>
    </row>
    <row r="39" spans="1:8" x14ac:dyDescent="0.25">
      <c r="D39" s="4" t="s">
        <v>226</v>
      </c>
      <c r="E39" s="10">
        <v>1015790</v>
      </c>
    </row>
    <row r="40" spans="1:8" x14ac:dyDescent="0.25">
      <c r="D40" s="4" t="s">
        <v>1543</v>
      </c>
      <c r="E40" s="10">
        <v>115431890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A716-2707-414B-9658-6399DDE1F8D5}">
  <dimension ref="A1:T733"/>
  <sheetViews>
    <sheetView workbookViewId="0">
      <selection activeCell="L10" sqref="L10"/>
    </sheetView>
  </sheetViews>
  <sheetFormatPr defaultRowHeight="15" x14ac:dyDescent="0.25"/>
  <cols>
    <col min="1" max="1" width="26.140625" bestFit="1" customWidth="1"/>
    <col min="2" max="2" width="11.28515625" bestFit="1" customWidth="1"/>
    <col min="3" max="3" width="13.5703125" bestFit="1" customWidth="1"/>
    <col min="4" max="4" width="15.140625" bestFit="1" customWidth="1"/>
    <col min="5" max="5" width="18.5703125" bestFit="1" customWidth="1"/>
    <col min="6" max="6" width="10" bestFit="1" customWidth="1"/>
    <col min="7" max="7" width="6.5703125" bestFit="1" customWidth="1"/>
    <col min="8" max="8" width="11.7109375" bestFit="1" customWidth="1"/>
    <col min="9" max="9" width="11.28515625" bestFit="1" customWidth="1"/>
    <col min="10" max="10" width="23.42578125" bestFit="1" customWidth="1"/>
    <col min="11" max="11" width="16.28515625" bestFit="1" customWidth="1"/>
    <col min="12" max="12" width="11" bestFit="1" customWidth="1"/>
    <col min="13" max="13" width="12.42578125" bestFit="1" customWidth="1"/>
    <col min="14" max="14" width="19.5703125" bestFit="1" customWidth="1"/>
    <col min="15" max="15" width="8.140625" bestFit="1" customWidth="1"/>
    <col min="16" max="16" width="10" bestFit="1" customWidth="1"/>
    <col min="17" max="17" width="17.140625" bestFit="1" customWidth="1"/>
    <col min="18" max="18" width="15" bestFit="1" customWidth="1"/>
    <col min="19" max="19" width="14.42578125" bestFit="1" customWidth="1"/>
    <col min="20" max="20" width="12.140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s="1">
        <v>45762</v>
      </c>
      <c r="D2" t="s">
        <v>22</v>
      </c>
      <c r="E2" t="s">
        <v>23</v>
      </c>
      <c r="F2" t="s">
        <v>24</v>
      </c>
      <c r="G2">
        <v>54</v>
      </c>
      <c r="H2" t="s">
        <v>25</v>
      </c>
      <c r="I2" t="s">
        <v>26</v>
      </c>
      <c r="J2" t="s">
        <v>27</v>
      </c>
      <c r="K2" t="s">
        <v>28</v>
      </c>
      <c r="L2">
        <v>1</v>
      </c>
      <c r="M2">
        <v>94000</v>
      </c>
      <c r="N2">
        <v>2</v>
      </c>
      <c r="O2">
        <v>92120</v>
      </c>
      <c r="P2">
        <v>17226.009999999998</v>
      </c>
      <c r="Q2" t="s">
        <v>1560</v>
      </c>
      <c r="R2" t="s">
        <v>30</v>
      </c>
      <c r="S2" t="s">
        <v>31</v>
      </c>
      <c r="T2" t="s">
        <v>32</v>
      </c>
    </row>
    <row r="3" spans="1:20" x14ac:dyDescent="0.25">
      <c r="A3" t="s">
        <v>20</v>
      </c>
      <c r="B3" t="s">
        <v>33</v>
      </c>
      <c r="C3" s="1">
        <v>46087</v>
      </c>
      <c r="D3" t="s">
        <v>34</v>
      </c>
      <c r="E3" t="s">
        <v>35</v>
      </c>
      <c r="F3" t="s">
        <v>24</v>
      </c>
      <c r="G3">
        <v>34</v>
      </c>
      <c r="H3" t="s">
        <v>25</v>
      </c>
      <c r="I3" t="s">
        <v>26</v>
      </c>
      <c r="J3" t="s">
        <v>36</v>
      </c>
      <c r="K3" t="s">
        <v>28</v>
      </c>
      <c r="L3">
        <v>1</v>
      </c>
      <c r="M3">
        <v>117000</v>
      </c>
      <c r="N3">
        <v>10</v>
      </c>
      <c r="O3">
        <v>105300</v>
      </c>
      <c r="P3">
        <v>4193.3999999999996</v>
      </c>
      <c r="Q3" t="s">
        <v>37</v>
      </c>
      <c r="R3" t="s">
        <v>38</v>
      </c>
      <c r="S3" t="s">
        <v>39</v>
      </c>
      <c r="T3" t="s">
        <v>40</v>
      </c>
    </row>
    <row r="4" spans="1:20" x14ac:dyDescent="0.25">
      <c r="A4" t="s">
        <v>20</v>
      </c>
      <c r="B4" t="s">
        <v>41</v>
      </c>
      <c r="C4" s="1">
        <v>45757</v>
      </c>
      <c r="D4" t="s">
        <v>42</v>
      </c>
      <c r="E4" t="s">
        <v>43</v>
      </c>
      <c r="F4" t="s">
        <v>24</v>
      </c>
      <c r="G4">
        <v>42</v>
      </c>
      <c r="H4" t="s">
        <v>44</v>
      </c>
      <c r="I4" t="s">
        <v>26</v>
      </c>
      <c r="J4" t="s">
        <v>45</v>
      </c>
      <c r="K4" t="s">
        <v>28</v>
      </c>
      <c r="L4">
        <v>2</v>
      </c>
      <c r="M4">
        <v>98000</v>
      </c>
      <c r="N4">
        <v>0</v>
      </c>
      <c r="O4">
        <v>196000</v>
      </c>
      <c r="P4">
        <v>40938.620000000003</v>
      </c>
      <c r="Q4" t="s">
        <v>46</v>
      </c>
      <c r="R4" t="s">
        <v>30</v>
      </c>
      <c r="S4" t="s">
        <v>47</v>
      </c>
      <c r="T4" t="s">
        <v>32</v>
      </c>
    </row>
    <row r="5" spans="1:20" x14ac:dyDescent="0.25">
      <c r="A5" t="s">
        <v>20</v>
      </c>
      <c r="B5" t="s">
        <v>48</v>
      </c>
      <c r="C5" s="1">
        <v>45729</v>
      </c>
      <c r="D5" t="s">
        <v>49</v>
      </c>
      <c r="E5" t="s">
        <v>50</v>
      </c>
      <c r="F5" t="s">
        <v>24</v>
      </c>
      <c r="G5">
        <v>22</v>
      </c>
      <c r="H5" t="s">
        <v>51</v>
      </c>
      <c r="I5" t="s">
        <v>26</v>
      </c>
      <c r="J5" t="s">
        <v>36</v>
      </c>
      <c r="K5" t="s">
        <v>28</v>
      </c>
      <c r="L5">
        <v>1</v>
      </c>
      <c r="M5">
        <v>116000</v>
      </c>
      <c r="N5">
        <v>3</v>
      </c>
      <c r="O5">
        <v>112520</v>
      </c>
      <c r="P5">
        <v>14003.26</v>
      </c>
      <c r="Q5" t="s">
        <v>52</v>
      </c>
      <c r="R5" t="s">
        <v>30</v>
      </c>
      <c r="S5" t="s">
        <v>47</v>
      </c>
      <c r="T5" t="s">
        <v>40</v>
      </c>
    </row>
    <row r="6" spans="1:20" x14ac:dyDescent="0.25">
      <c r="A6" t="s">
        <v>20</v>
      </c>
      <c r="B6" t="s">
        <v>53</v>
      </c>
      <c r="C6" s="1">
        <v>45731</v>
      </c>
      <c r="D6" t="s">
        <v>54</v>
      </c>
      <c r="E6" t="s">
        <v>50</v>
      </c>
      <c r="F6" t="s">
        <v>55</v>
      </c>
      <c r="G6">
        <v>30</v>
      </c>
      <c r="H6" t="s">
        <v>56</v>
      </c>
      <c r="I6" t="s">
        <v>26</v>
      </c>
      <c r="J6" t="s">
        <v>57</v>
      </c>
      <c r="K6" t="s">
        <v>58</v>
      </c>
      <c r="L6">
        <v>1</v>
      </c>
      <c r="M6">
        <v>175000</v>
      </c>
      <c r="N6">
        <v>2</v>
      </c>
      <c r="O6">
        <v>171500</v>
      </c>
      <c r="P6">
        <v>20926.32</v>
      </c>
      <c r="Q6" t="s">
        <v>59</v>
      </c>
      <c r="R6" t="s">
        <v>60</v>
      </c>
      <c r="S6" t="s">
        <v>61</v>
      </c>
      <c r="T6" t="s">
        <v>32</v>
      </c>
    </row>
    <row r="7" spans="1:20" x14ac:dyDescent="0.25">
      <c r="A7" t="s">
        <v>20</v>
      </c>
      <c r="B7" t="s">
        <v>62</v>
      </c>
      <c r="C7" s="1">
        <v>45725</v>
      </c>
      <c r="D7" t="s">
        <v>63</v>
      </c>
      <c r="E7" t="s">
        <v>43</v>
      </c>
      <c r="F7" t="s">
        <v>55</v>
      </c>
      <c r="G7">
        <v>33</v>
      </c>
      <c r="H7" t="s">
        <v>25</v>
      </c>
      <c r="I7" t="s">
        <v>26</v>
      </c>
      <c r="J7" t="s">
        <v>64</v>
      </c>
      <c r="K7" t="s">
        <v>58</v>
      </c>
      <c r="L7">
        <v>1</v>
      </c>
      <c r="M7">
        <v>123000</v>
      </c>
      <c r="N7">
        <v>3</v>
      </c>
      <c r="O7">
        <v>119310</v>
      </c>
      <c r="P7">
        <v>17448.810000000001</v>
      </c>
      <c r="Q7" t="s">
        <v>59</v>
      </c>
      <c r="R7" t="s">
        <v>38</v>
      </c>
      <c r="S7" t="s">
        <v>31</v>
      </c>
      <c r="T7" t="s">
        <v>40</v>
      </c>
    </row>
    <row r="8" spans="1:20" x14ac:dyDescent="0.25">
      <c r="A8" t="s">
        <v>20</v>
      </c>
      <c r="B8" t="s">
        <v>65</v>
      </c>
      <c r="C8" s="1">
        <v>46096</v>
      </c>
      <c r="D8" t="s">
        <v>66</v>
      </c>
      <c r="E8" t="s">
        <v>43</v>
      </c>
      <c r="F8" t="s">
        <v>55</v>
      </c>
      <c r="G8">
        <v>45</v>
      </c>
      <c r="H8" t="s">
        <v>67</v>
      </c>
      <c r="I8" t="s">
        <v>26</v>
      </c>
      <c r="J8" t="s">
        <v>45</v>
      </c>
      <c r="K8" t="s">
        <v>68</v>
      </c>
      <c r="L8">
        <v>1</v>
      </c>
      <c r="M8">
        <v>99000</v>
      </c>
      <c r="N8">
        <v>3</v>
      </c>
      <c r="O8">
        <v>96030</v>
      </c>
      <c r="P8">
        <v>9935.48</v>
      </c>
      <c r="Q8" t="s">
        <v>105</v>
      </c>
      <c r="R8" t="s">
        <v>30</v>
      </c>
      <c r="S8" t="s">
        <v>69</v>
      </c>
      <c r="T8" t="s">
        <v>32</v>
      </c>
    </row>
    <row r="9" spans="1:20" x14ac:dyDescent="0.25">
      <c r="A9" t="s">
        <v>20</v>
      </c>
      <c r="B9" t="s">
        <v>70</v>
      </c>
      <c r="C9" s="1">
        <v>46048</v>
      </c>
      <c r="D9" t="s">
        <v>71</v>
      </c>
      <c r="E9" t="s">
        <v>72</v>
      </c>
      <c r="F9" t="s">
        <v>55</v>
      </c>
      <c r="G9">
        <v>49</v>
      </c>
      <c r="H9" t="s">
        <v>73</v>
      </c>
      <c r="I9" t="s">
        <v>26</v>
      </c>
      <c r="J9" t="s">
        <v>45</v>
      </c>
      <c r="K9" t="s">
        <v>28</v>
      </c>
      <c r="L9">
        <v>1</v>
      </c>
      <c r="M9">
        <v>98000</v>
      </c>
      <c r="N9">
        <v>7</v>
      </c>
      <c r="O9">
        <v>91140</v>
      </c>
      <c r="P9">
        <v>13952.91</v>
      </c>
      <c r="Q9" t="s">
        <v>74</v>
      </c>
      <c r="R9" t="s">
        <v>60</v>
      </c>
      <c r="S9" t="s">
        <v>69</v>
      </c>
      <c r="T9" t="s">
        <v>40</v>
      </c>
    </row>
    <row r="10" spans="1:20" x14ac:dyDescent="0.25">
      <c r="A10" t="s">
        <v>20</v>
      </c>
      <c r="B10" t="s">
        <v>75</v>
      </c>
      <c r="C10" s="1">
        <v>46170</v>
      </c>
      <c r="D10" t="s">
        <v>76</v>
      </c>
      <c r="E10" t="s">
        <v>23</v>
      </c>
      <c r="F10" t="s">
        <v>24</v>
      </c>
      <c r="G10">
        <v>31</v>
      </c>
      <c r="H10" t="s">
        <v>73</v>
      </c>
      <c r="I10" t="s">
        <v>26</v>
      </c>
      <c r="J10" t="s">
        <v>77</v>
      </c>
      <c r="K10" t="s">
        <v>68</v>
      </c>
      <c r="L10">
        <v>1</v>
      </c>
      <c r="M10">
        <v>197000</v>
      </c>
      <c r="N10">
        <v>10</v>
      </c>
      <c r="O10">
        <v>177300</v>
      </c>
      <c r="P10">
        <v>17413.48</v>
      </c>
      <c r="Q10" t="s">
        <v>37</v>
      </c>
      <c r="R10" t="s">
        <v>60</v>
      </c>
      <c r="S10" t="s">
        <v>31</v>
      </c>
      <c r="T10" t="s">
        <v>32</v>
      </c>
    </row>
    <row r="11" spans="1:20" x14ac:dyDescent="0.25">
      <c r="A11" t="s">
        <v>20</v>
      </c>
      <c r="B11" t="s">
        <v>78</v>
      </c>
      <c r="C11" s="1">
        <v>45972</v>
      </c>
      <c r="D11" t="s">
        <v>79</v>
      </c>
      <c r="E11" t="s">
        <v>80</v>
      </c>
      <c r="F11" t="s">
        <v>55</v>
      </c>
      <c r="G11">
        <v>120</v>
      </c>
      <c r="H11" t="s">
        <v>56</v>
      </c>
      <c r="I11" t="s">
        <v>26</v>
      </c>
      <c r="J11" t="s">
        <v>81</v>
      </c>
      <c r="K11" t="s">
        <v>28</v>
      </c>
      <c r="L11">
        <v>1</v>
      </c>
      <c r="M11">
        <v>233000</v>
      </c>
      <c r="N11">
        <v>3</v>
      </c>
      <c r="O11">
        <v>226010</v>
      </c>
      <c r="P11">
        <v>19700.939999999999</v>
      </c>
      <c r="Q11" t="s">
        <v>82</v>
      </c>
      <c r="R11" t="s">
        <v>38</v>
      </c>
      <c r="S11" t="s">
        <v>69</v>
      </c>
      <c r="T11" t="s">
        <v>32</v>
      </c>
    </row>
    <row r="12" spans="1:20" x14ac:dyDescent="0.25">
      <c r="A12" t="s">
        <v>20</v>
      </c>
      <c r="B12" t="s">
        <v>83</v>
      </c>
      <c r="C12" s="1">
        <v>46091</v>
      </c>
      <c r="D12" t="s">
        <v>84</v>
      </c>
      <c r="E12" t="s">
        <v>50</v>
      </c>
      <c r="F12" t="s">
        <v>24</v>
      </c>
      <c r="G12">
        <v>33</v>
      </c>
      <c r="H12" t="s">
        <v>85</v>
      </c>
      <c r="I12" t="s">
        <v>26</v>
      </c>
      <c r="J12" t="s">
        <v>45</v>
      </c>
      <c r="K12" t="s">
        <v>58</v>
      </c>
      <c r="L12">
        <v>2</v>
      </c>
      <c r="M12">
        <v>97000</v>
      </c>
      <c r="N12">
        <v>3</v>
      </c>
      <c r="O12">
        <v>188180</v>
      </c>
      <c r="P12">
        <v>24575.75</v>
      </c>
      <c r="Q12" t="s">
        <v>86</v>
      </c>
      <c r="R12" t="s">
        <v>38</v>
      </c>
      <c r="S12" t="s">
        <v>87</v>
      </c>
      <c r="T12" t="s">
        <v>40</v>
      </c>
    </row>
    <row r="13" spans="1:20" x14ac:dyDescent="0.25">
      <c r="A13" t="s">
        <v>20</v>
      </c>
      <c r="B13" t="s">
        <v>88</v>
      </c>
      <c r="C13" s="1">
        <v>45893</v>
      </c>
      <c r="D13" t="s">
        <v>89</v>
      </c>
      <c r="E13" t="s">
        <v>80</v>
      </c>
      <c r="F13" t="s">
        <v>55</v>
      </c>
      <c r="G13">
        <v>34</v>
      </c>
      <c r="H13" t="s">
        <v>44</v>
      </c>
      <c r="I13" t="s">
        <v>26</v>
      </c>
      <c r="J13" t="s">
        <v>27</v>
      </c>
      <c r="K13" t="s">
        <v>28</v>
      </c>
      <c r="L13">
        <v>0</v>
      </c>
      <c r="M13">
        <v>95000</v>
      </c>
      <c r="N13">
        <v>0</v>
      </c>
      <c r="O13">
        <v>95000</v>
      </c>
      <c r="P13">
        <v>14193.28</v>
      </c>
      <c r="Q13" t="s">
        <v>52</v>
      </c>
      <c r="R13" t="s">
        <v>30</v>
      </c>
      <c r="S13" t="s">
        <v>69</v>
      </c>
      <c r="T13" t="s">
        <v>40</v>
      </c>
    </row>
    <row r="14" spans="1:20" x14ac:dyDescent="0.25">
      <c r="A14" t="s">
        <v>20</v>
      </c>
      <c r="B14" t="s">
        <v>90</v>
      </c>
      <c r="C14" s="1">
        <v>46242</v>
      </c>
      <c r="D14" t="s">
        <v>91</v>
      </c>
      <c r="E14" t="s">
        <v>50</v>
      </c>
      <c r="F14" t="s">
        <v>24</v>
      </c>
      <c r="G14">
        <v>50</v>
      </c>
      <c r="H14" t="s">
        <v>44</v>
      </c>
      <c r="I14" t="s">
        <v>26</v>
      </c>
      <c r="J14" t="s">
        <v>27</v>
      </c>
      <c r="K14" t="s">
        <v>58</v>
      </c>
      <c r="L14">
        <v>1</v>
      </c>
      <c r="M14">
        <v>95000</v>
      </c>
      <c r="N14">
        <v>2</v>
      </c>
      <c r="O14">
        <v>93100</v>
      </c>
      <c r="P14">
        <v>12852.73</v>
      </c>
      <c r="Q14" t="s">
        <v>52</v>
      </c>
      <c r="R14" t="s">
        <v>30</v>
      </c>
      <c r="S14" t="s">
        <v>69</v>
      </c>
      <c r="T14" t="s">
        <v>40</v>
      </c>
    </row>
    <row r="15" spans="1:20" x14ac:dyDescent="0.25">
      <c r="A15" t="s">
        <v>20</v>
      </c>
      <c r="B15" t="s">
        <v>92</v>
      </c>
      <c r="C15" s="1">
        <v>45758</v>
      </c>
      <c r="D15" t="s">
        <v>93</v>
      </c>
      <c r="E15" t="s">
        <v>94</v>
      </c>
      <c r="F15" t="s">
        <v>24</v>
      </c>
      <c r="G15">
        <v>23</v>
      </c>
      <c r="H15" t="s">
        <v>95</v>
      </c>
      <c r="I15" t="s">
        <v>26</v>
      </c>
      <c r="J15" t="s">
        <v>64</v>
      </c>
      <c r="K15" t="s">
        <v>28</v>
      </c>
      <c r="L15">
        <v>1</v>
      </c>
      <c r="M15">
        <v>127000</v>
      </c>
      <c r="N15">
        <v>0</v>
      </c>
      <c r="O15">
        <v>127000</v>
      </c>
      <c r="P15">
        <v>17677.919999999998</v>
      </c>
      <c r="Q15" t="s">
        <v>52</v>
      </c>
      <c r="R15" t="s">
        <v>96</v>
      </c>
      <c r="S15" t="s">
        <v>31</v>
      </c>
      <c r="T15" t="s">
        <v>40</v>
      </c>
    </row>
    <row r="16" spans="1:20" x14ac:dyDescent="0.25">
      <c r="A16" t="s">
        <v>20</v>
      </c>
      <c r="B16" t="s">
        <v>97</v>
      </c>
      <c r="C16" s="1">
        <v>45735</v>
      </c>
      <c r="D16" t="s">
        <v>98</v>
      </c>
      <c r="E16" t="s">
        <v>23</v>
      </c>
      <c r="F16" t="s">
        <v>55</v>
      </c>
      <c r="G16">
        <v>48</v>
      </c>
      <c r="H16" t="s">
        <v>95</v>
      </c>
      <c r="I16" t="s">
        <v>26</v>
      </c>
      <c r="J16" t="s">
        <v>45</v>
      </c>
      <c r="K16" t="s">
        <v>28</v>
      </c>
      <c r="L16">
        <v>1</v>
      </c>
      <c r="M16">
        <v>98000</v>
      </c>
      <c r="N16">
        <v>2</v>
      </c>
      <c r="O16">
        <v>96040</v>
      </c>
      <c r="P16">
        <v>9316.0499999999993</v>
      </c>
      <c r="Q16" t="s">
        <v>82</v>
      </c>
      <c r="R16" t="s">
        <v>96</v>
      </c>
      <c r="S16" t="s">
        <v>31</v>
      </c>
      <c r="T16" t="s">
        <v>40</v>
      </c>
    </row>
    <row r="17" spans="1:20" x14ac:dyDescent="0.25">
      <c r="A17" t="s">
        <v>20</v>
      </c>
      <c r="B17" t="s">
        <v>99</v>
      </c>
      <c r="C17" s="1">
        <v>45660</v>
      </c>
      <c r="D17" t="s">
        <v>100</v>
      </c>
      <c r="E17" t="s">
        <v>72</v>
      </c>
      <c r="F17" t="s">
        <v>24</v>
      </c>
      <c r="G17">
        <v>44</v>
      </c>
      <c r="H17" t="s">
        <v>85</v>
      </c>
      <c r="I17" t="s">
        <v>26</v>
      </c>
      <c r="J17" t="s">
        <v>57</v>
      </c>
      <c r="K17" t="s">
        <v>101</v>
      </c>
      <c r="L17">
        <v>1</v>
      </c>
      <c r="M17">
        <v>175000</v>
      </c>
      <c r="N17">
        <v>0</v>
      </c>
      <c r="O17">
        <v>175000</v>
      </c>
      <c r="P17">
        <v>35042.620000000003</v>
      </c>
      <c r="Q17" t="s">
        <v>59</v>
      </c>
      <c r="R17" t="s">
        <v>38</v>
      </c>
      <c r="S17" t="s">
        <v>31</v>
      </c>
      <c r="T17" t="s">
        <v>32</v>
      </c>
    </row>
    <row r="18" spans="1:20" x14ac:dyDescent="0.25">
      <c r="A18" t="s">
        <v>20</v>
      </c>
      <c r="B18" t="s">
        <v>102</v>
      </c>
      <c r="C18" s="1">
        <v>45979</v>
      </c>
      <c r="D18" t="s">
        <v>103</v>
      </c>
      <c r="E18" t="s">
        <v>80</v>
      </c>
      <c r="F18" t="s">
        <v>24</v>
      </c>
      <c r="G18">
        <v>23</v>
      </c>
      <c r="H18" t="s">
        <v>44</v>
      </c>
      <c r="I18" t="s">
        <v>26</v>
      </c>
      <c r="J18" t="s">
        <v>104</v>
      </c>
      <c r="K18" t="s">
        <v>68</v>
      </c>
      <c r="L18">
        <v>2</v>
      </c>
      <c r="M18">
        <v>171000</v>
      </c>
      <c r="N18">
        <v>10</v>
      </c>
      <c r="O18">
        <v>307800</v>
      </c>
      <c r="P18">
        <v>18788.310000000001</v>
      </c>
      <c r="Q18" t="s">
        <v>105</v>
      </c>
      <c r="R18" t="s">
        <v>30</v>
      </c>
      <c r="S18" t="s">
        <v>31</v>
      </c>
      <c r="T18" t="s">
        <v>32</v>
      </c>
    </row>
    <row r="19" spans="1:20" x14ac:dyDescent="0.25">
      <c r="A19" t="s">
        <v>20</v>
      </c>
      <c r="B19" t="s">
        <v>106</v>
      </c>
      <c r="C19" s="1">
        <v>46241</v>
      </c>
      <c r="D19" t="s">
        <v>107</v>
      </c>
      <c r="E19" t="s">
        <v>80</v>
      </c>
      <c r="F19" t="s">
        <v>55</v>
      </c>
      <c r="G19">
        <v>35</v>
      </c>
      <c r="H19" t="s">
        <v>108</v>
      </c>
      <c r="I19" t="s">
        <v>26</v>
      </c>
      <c r="J19" t="s">
        <v>81</v>
      </c>
      <c r="K19" t="s">
        <v>58</v>
      </c>
      <c r="L19">
        <v>1</v>
      </c>
      <c r="M19">
        <v>234000</v>
      </c>
      <c r="N19">
        <v>5</v>
      </c>
      <c r="O19">
        <v>222300</v>
      </c>
      <c r="P19">
        <v>36413.58</v>
      </c>
      <c r="Q19" t="s">
        <v>86</v>
      </c>
      <c r="R19" t="s">
        <v>60</v>
      </c>
      <c r="S19" t="s">
        <v>31</v>
      </c>
      <c r="T19" t="s">
        <v>40</v>
      </c>
    </row>
    <row r="20" spans="1:20" x14ac:dyDescent="0.25">
      <c r="A20" t="s">
        <v>20</v>
      </c>
      <c r="B20" t="s">
        <v>109</v>
      </c>
      <c r="C20" s="1">
        <v>45981</v>
      </c>
      <c r="D20" t="s">
        <v>110</v>
      </c>
      <c r="E20" t="s">
        <v>80</v>
      </c>
      <c r="F20" t="s">
        <v>24</v>
      </c>
      <c r="G20">
        <v>24</v>
      </c>
      <c r="H20" t="s">
        <v>51</v>
      </c>
      <c r="I20" t="s">
        <v>26</v>
      </c>
      <c r="J20" t="s">
        <v>111</v>
      </c>
      <c r="K20" t="s">
        <v>28</v>
      </c>
      <c r="L20">
        <v>1</v>
      </c>
      <c r="M20">
        <v>127000</v>
      </c>
      <c r="N20">
        <v>10</v>
      </c>
      <c r="O20">
        <v>114300</v>
      </c>
      <c r="P20">
        <v>10668.04</v>
      </c>
      <c r="Q20" t="s">
        <v>82</v>
      </c>
      <c r="R20" t="s">
        <v>96</v>
      </c>
      <c r="S20" t="s">
        <v>87</v>
      </c>
      <c r="T20" t="s">
        <v>40</v>
      </c>
    </row>
    <row r="21" spans="1:20" x14ac:dyDescent="0.25">
      <c r="A21" t="s">
        <v>20</v>
      </c>
      <c r="B21" t="s">
        <v>112</v>
      </c>
      <c r="C21" s="1">
        <v>46106</v>
      </c>
      <c r="D21" t="s">
        <v>113</v>
      </c>
      <c r="E21" t="s">
        <v>72</v>
      </c>
      <c r="F21" t="s">
        <v>55</v>
      </c>
      <c r="G21">
        <v>54</v>
      </c>
      <c r="H21" t="s">
        <v>56</v>
      </c>
      <c r="I21" t="s">
        <v>26</v>
      </c>
      <c r="J21" t="s">
        <v>45</v>
      </c>
      <c r="K21" t="s">
        <v>101</v>
      </c>
      <c r="L21">
        <v>2</v>
      </c>
      <c r="M21">
        <v>97000</v>
      </c>
      <c r="N21">
        <v>3</v>
      </c>
      <c r="O21">
        <v>188180</v>
      </c>
      <c r="P21">
        <v>30225.49</v>
      </c>
      <c r="Q21" t="s">
        <v>82</v>
      </c>
      <c r="R21" t="s">
        <v>96</v>
      </c>
      <c r="S21" t="s">
        <v>39</v>
      </c>
      <c r="T21" t="s">
        <v>32</v>
      </c>
    </row>
    <row r="22" spans="1:20" x14ac:dyDescent="0.25">
      <c r="A22" t="s">
        <v>20</v>
      </c>
      <c r="B22" t="s">
        <v>114</v>
      </c>
      <c r="C22" s="1">
        <v>45866</v>
      </c>
      <c r="D22" t="s">
        <v>115</v>
      </c>
      <c r="E22" t="s">
        <v>35</v>
      </c>
      <c r="F22" t="s">
        <v>24</v>
      </c>
      <c r="G22">
        <v>36</v>
      </c>
      <c r="H22" t="s">
        <v>73</v>
      </c>
      <c r="I22" t="s">
        <v>26</v>
      </c>
      <c r="J22" t="s">
        <v>27</v>
      </c>
      <c r="K22" t="s">
        <v>28</v>
      </c>
      <c r="L22">
        <v>1</v>
      </c>
      <c r="M22">
        <v>96000</v>
      </c>
      <c r="N22">
        <v>2</v>
      </c>
      <c r="O22">
        <v>94080</v>
      </c>
      <c r="P22">
        <v>10933.11</v>
      </c>
      <c r="Q22" t="s">
        <v>82</v>
      </c>
      <c r="R22" t="s">
        <v>38</v>
      </c>
      <c r="S22" t="s">
        <v>39</v>
      </c>
      <c r="T22" t="s">
        <v>32</v>
      </c>
    </row>
    <row r="23" spans="1:20" x14ac:dyDescent="0.25">
      <c r="A23" t="s">
        <v>20</v>
      </c>
      <c r="B23" t="s">
        <v>116</v>
      </c>
      <c r="C23" s="1">
        <v>46110</v>
      </c>
      <c r="D23" t="s">
        <v>117</v>
      </c>
      <c r="E23" t="s">
        <v>94</v>
      </c>
      <c r="F23" t="s">
        <v>55</v>
      </c>
      <c r="G23">
        <v>55</v>
      </c>
      <c r="H23" t="s">
        <v>56</v>
      </c>
      <c r="I23" t="s">
        <v>26</v>
      </c>
      <c r="J23" t="s">
        <v>118</v>
      </c>
      <c r="K23" t="s">
        <v>28</v>
      </c>
      <c r="L23">
        <v>1</v>
      </c>
      <c r="M23">
        <v>87000</v>
      </c>
      <c r="N23">
        <v>3</v>
      </c>
      <c r="O23">
        <v>84390</v>
      </c>
      <c r="P23">
        <v>14843.08</v>
      </c>
      <c r="Q23" t="s">
        <v>82</v>
      </c>
      <c r="R23" t="s">
        <v>96</v>
      </c>
      <c r="S23" t="s">
        <v>87</v>
      </c>
      <c r="T23" t="s">
        <v>32</v>
      </c>
    </row>
    <row r="24" spans="1:20" x14ac:dyDescent="0.25">
      <c r="A24" t="s">
        <v>20</v>
      </c>
      <c r="B24" t="s">
        <v>119</v>
      </c>
      <c r="C24" s="1">
        <v>45698</v>
      </c>
      <c r="D24" t="s">
        <v>120</v>
      </c>
      <c r="E24" t="s">
        <v>50</v>
      </c>
      <c r="F24" t="s">
        <v>55</v>
      </c>
      <c r="G24">
        <v>42</v>
      </c>
      <c r="H24" t="s">
        <v>73</v>
      </c>
      <c r="I24" t="s">
        <v>26</v>
      </c>
      <c r="J24" t="s">
        <v>121</v>
      </c>
      <c r="K24" t="s">
        <v>28</v>
      </c>
      <c r="L24">
        <v>1</v>
      </c>
      <c r="M24">
        <v>123000</v>
      </c>
      <c r="N24">
        <v>3</v>
      </c>
      <c r="O24">
        <v>119310</v>
      </c>
      <c r="P24">
        <v>17987.740000000002</v>
      </c>
      <c r="Q24" t="s">
        <v>86</v>
      </c>
      <c r="R24" t="s">
        <v>38</v>
      </c>
      <c r="S24" t="s">
        <v>87</v>
      </c>
      <c r="T24" t="s">
        <v>32</v>
      </c>
    </row>
    <row r="25" spans="1:20" x14ac:dyDescent="0.25">
      <c r="A25" t="s">
        <v>20</v>
      </c>
      <c r="B25" t="s">
        <v>122</v>
      </c>
      <c r="C25" s="1">
        <v>45998</v>
      </c>
      <c r="D25" t="s">
        <v>123</v>
      </c>
      <c r="E25" t="s">
        <v>50</v>
      </c>
      <c r="F25" t="s">
        <v>24</v>
      </c>
      <c r="G25">
        <v>46</v>
      </c>
      <c r="H25" t="s">
        <v>73</v>
      </c>
      <c r="I25" t="s">
        <v>26</v>
      </c>
      <c r="J25" t="s">
        <v>111</v>
      </c>
      <c r="K25" t="s">
        <v>68</v>
      </c>
      <c r="L25">
        <v>2</v>
      </c>
      <c r="M25">
        <v>124000</v>
      </c>
      <c r="N25">
        <v>5</v>
      </c>
      <c r="O25">
        <v>235600</v>
      </c>
      <c r="P25">
        <v>41422.36</v>
      </c>
      <c r="Q25" t="s">
        <v>82</v>
      </c>
      <c r="R25" t="s">
        <v>38</v>
      </c>
      <c r="S25" t="s">
        <v>69</v>
      </c>
      <c r="T25" t="s">
        <v>40</v>
      </c>
    </row>
    <row r="26" spans="1:20" x14ac:dyDescent="0.25">
      <c r="A26" t="s">
        <v>20</v>
      </c>
      <c r="B26" t="s">
        <v>124</v>
      </c>
      <c r="C26" s="1">
        <v>45891</v>
      </c>
      <c r="D26" t="s">
        <v>125</v>
      </c>
      <c r="E26" t="s">
        <v>80</v>
      </c>
      <c r="F26" t="s">
        <v>55</v>
      </c>
      <c r="G26">
        <v>34</v>
      </c>
      <c r="H26" t="s">
        <v>44</v>
      </c>
      <c r="I26" t="s">
        <v>26</v>
      </c>
      <c r="J26" t="s">
        <v>111</v>
      </c>
      <c r="K26" t="s">
        <v>58</v>
      </c>
      <c r="L26">
        <v>1</v>
      </c>
      <c r="M26">
        <v>125000</v>
      </c>
      <c r="N26">
        <v>3</v>
      </c>
      <c r="O26">
        <v>121250</v>
      </c>
      <c r="P26">
        <v>19172.14</v>
      </c>
      <c r="Q26" t="s">
        <v>86</v>
      </c>
      <c r="R26" t="s">
        <v>126</v>
      </c>
      <c r="S26" t="s">
        <v>69</v>
      </c>
      <c r="T26" t="s">
        <v>40</v>
      </c>
    </row>
    <row r="27" spans="1:20" x14ac:dyDescent="0.25">
      <c r="A27" t="s">
        <v>20</v>
      </c>
      <c r="B27" t="s">
        <v>127</v>
      </c>
      <c r="C27" s="1">
        <v>45776</v>
      </c>
      <c r="D27" t="s">
        <v>128</v>
      </c>
      <c r="E27" t="s">
        <v>129</v>
      </c>
      <c r="F27" t="s">
        <v>24</v>
      </c>
      <c r="G27">
        <v>0</v>
      </c>
      <c r="H27" t="s">
        <v>95</v>
      </c>
      <c r="I27" t="s">
        <v>26</v>
      </c>
      <c r="J27" t="s">
        <v>64</v>
      </c>
      <c r="K27" t="s">
        <v>28</v>
      </c>
      <c r="L27">
        <v>1</v>
      </c>
      <c r="M27">
        <v>126000</v>
      </c>
      <c r="N27">
        <v>3</v>
      </c>
      <c r="O27">
        <v>122220</v>
      </c>
      <c r="P27">
        <v>9738.73</v>
      </c>
      <c r="Q27" t="s">
        <v>82</v>
      </c>
      <c r="R27" t="s">
        <v>38</v>
      </c>
      <c r="S27" t="s">
        <v>39</v>
      </c>
      <c r="T27" t="s">
        <v>40</v>
      </c>
    </row>
    <row r="28" spans="1:20" x14ac:dyDescent="0.25">
      <c r="A28" t="s">
        <v>20</v>
      </c>
      <c r="B28" t="s">
        <v>130</v>
      </c>
      <c r="C28" s="1">
        <v>46104</v>
      </c>
      <c r="D28" t="s">
        <v>131</v>
      </c>
      <c r="E28" t="s">
        <v>50</v>
      </c>
      <c r="F28" t="s">
        <v>24</v>
      </c>
      <c r="G28">
        <v>20</v>
      </c>
      <c r="H28" t="s">
        <v>108</v>
      </c>
      <c r="I28" t="s">
        <v>26</v>
      </c>
      <c r="J28" t="s">
        <v>77</v>
      </c>
      <c r="K28" t="s">
        <v>58</v>
      </c>
      <c r="L28">
        <v>1</v>
      </c>
      <c r="M28">
        <v>196000</v>
      </c>
      <c r="N28">
        <v>2</v>
      </c>
      <c r="O28">
        <v>192080</v>
      </c>
      <c r="P28">
        <v>33208.93</v>
      </c>
      <c r="Q28" t="s">
        <v>82</v>
      </c>
      <c r="R28" t="s">
        <v>60</v>
      </c>
      <c r="S28" t="s">
        <v>87</v>
      </c>
      <c r="T28" t="s">
        <v>40</v>
      </c>
    </row>
    <row r="29" spans="1:20" x14ac:dyDescent="0.25">
      <c r="A29" t="s">
        <v>20</v>
      </c>
      <c r="B29" t="s">
        <v>132</v>
      </c>
      <c r="C29" s="1">
        <v>45960</v>
      </c>
      <c r="D29" t="s">
        <v>133</v>
      </c>
      <c r="E29" t="s">
        <v>134</v>
      </c>
      <c r="F29" t="s">
        <v>55</v>
      </c>
      <c r="G29">
        <v>55</v>
      </c>
      <c r="H29" t="s">
        <v>51</v>
      </c>
      <c r="I29" t="s">
        <v>26</v>
      </c>
      <c r="J29" t="s">
        <v>27</v>
      </c>
      <c r="K29" t="s">
        <v>58</v>
      </c>
      <c r="L29">
        <v>1</v>
      </c>
      <c r="M29">
        <v>97000</v>
      </c>
      <c r="N29">
        <v>5</v>
      </c>
      <c r="O29">
        <v>92150</v>
      </c>
      <c r="P29">
        <v>12693.23</v>
      </c>
      <c r="Q29" t="s">
        <v>59</v>
      </c>
      <c r="R29" t="s">
        <v>96</v>
      </c>
      <c r="S29" t="s">
        <v>87</v>
      </c>
      <c r="T29" t="s">
        <v>40</v>
      </c>
    </row>
    <row r="30" spans="1:20" x14ac:dyDescent="0.25">
      <c r="A30" t="s">
        <v>20</v>
      </c>
      <c r="B30" t="s">
        <v>135</v>
      </c>
      <c r="C30" s="1">
        <v>45987</v>
      </c>
      <c r="D30" t="s">
        <v>136</v>
      </c>
      <c r="E30" t="s">
        <v>137</v>
      </c>
      <c r="F30" t="s">
        <v>24</v>
      </c>
      <c r="G30">
        <v>49</v>
      </c>
      <c r="H30" t="s">
        <v>25</v>
      </c>
      <c r="I30" t="s">
        <v>26</v>
      </c>
      <c r="J30" t="s">
        <v>77</v>
      </c>
      <c r="K30" t="s">
        <v>68</v>
      </c>
      <c r="L30">
        <v>1</v>
      </c>
      <c r="M30">
        <v>194000</v>
      </c>
      <c r="N30">
        <v>0</v>
      </c>
      <c r="O30">
        <v>184300</v>
      </c>
      <c r="P30">
        <v>14687.53</v>
      </c>
      <c r="Q30" t="s">
        <v>46</v>
      </c>
      <c r="R30" t="s">
        <v>96</v>
      </c>
      <c r="S30" t="s">
        <v>61</v>
      </c>
      <c r="T30" t="s">
        <v>32</v>
      </c>
    </row>
    <row r="31" spans="1:20" x14ac:dyDescent="0.25">
      <c r="A31" t="s">
        <v>20</v>
      </c>
      <c r="B31" t="s">
        <v>138</v>
      </c>
      <c r="C31" s="1">
        <v>45861</v>
      </c>
      <c r="D31" t="s">
        <v>139</v>
      </c>
      <c r="E31" t="s">
        <v>80</v>
      </c>
      <c r="F31" t="s">
        <v>55</v>
      </c>
      <c r="G31">
        <v>29</v>
      </c>
      <c r="H31" t="s">
        <v>56</v>
      </c>
      <c r="I31" t="s">
        <v>26</v>
      </c>
      <c r="J31" t="s">
        <v>104</v>
      </c>
      <c r="K31" t="s">
        <v>68</v>
      </c>
      <c r="L31">
        <v>1</v>
      </c>
      <c r="M31">
        <v>169000</v>
      </c>
      <c r="N31">
        <v>10</v>
      </c>
      <c r="O31">
        <v>152100</v>
      </c>
      <c r="P31">
        <v>13984.69</v>
      </c>
      <c r="Q31" t="s">
        <v>46</v>
      </c>
      <c r="R31" t="s">
        <v>30</v>
      </c>
      <c r="S31" t="s">
        <v>47</v>
      </c>
      <c r="T31" t="s">
        <v>40</v>
      </c>
    </row>
    <row r="32" spans="1:20" x14ac:dyDescent="0.25">
      <c r="A32" t="s">
        <v>20</v>
      </c>
      <c r="B32" t="s">
        <v>140</v>
      </c>
      <c r="C32" s="1">
        <v>45809</v>
      </c>
      <c r="D32" t="s">
        <v>141</v>
      </c>
      <c r="E32" t="s">
        <v>23</v>
      </c>
      <c r="F32" t="s">
        <v>24</v>
      </c>
      <c r="G32">
        <v>20</v>
      </c>
      <c r="H32" t="s">
        <v>44</v>
      </c>
      <c r="I32" t="s">
        <v>26</v>
      </c>
      <c r="J32" t="s">
        <v>81</v>
      </c>
      <c r="K32" t="s">
        <v>68</v>
      </c>
      <c r="L32">
        <v>1</v>
      </c>
      <c r="M32">
        <v>235000</v>
      </c>
      <c r="N32">
        <v>5</v>
      </c>
      <c r="O32">
        <v>223250</v>
      </c>
      <c r="P32">
        <v>28679.79</v>
      </c>
      <c r="Q32" t="s">
        <v>37</v>
      </c>
      <c r="R32" t="s">
        <v>38</v>
      </c>
      <c r="S32" t="s">
        <v>69</v>
      </c>
      <c r="T32" t="s">
        <v>32</v>
      </c>
    </row>
    <row r="33" spans="1:20" x14ac:dyDescent="0.25">
      <c r="A33" t="s">
        <v>20</v>
      </c>
      <c r="B33" t="s">
        <v>142</v>
      </c>
      <c r="C33" s="1">
        <v>46230</v>
      </c>
      <c r="D33" t="s">
        <v>143</v>
      </c>
      <c r="E33" t="s">
        <v>35</v>
      </c>
      <c r="F33" t="s">
        <v>24</v>
      </c>
      <c r="G33">
        <v>40</v>
      </c>
      <c r="H33" t="s">
        <v>85</v>
      </c>
      <c r="I33" t="s">
        <v>26</v>
      </c>
      <c r="J33" t="s">
        <v>27</v>
      </c>
      <c r="K33" t="s">
        <v>58</v>
      </c>
      <c r="L33">
        <v>1</v>
      </c>
      <c r="M33">
        <v>95000</v>
      </c>
      <c r="N33">
        <v>10</v>
      </c>
      <c r="O33">
        <v>85500</v>
      </c>
      <c r="P33">
        <v>5345.1</v>
      </c>
      <c r="Q33" t="s">
        <v>37</v>
      </c>
      <c r="R33" t="s">
        <v>38</v>
      </c>
      <c r="S33" t="s">
        <v>47</v>
      </c>
      <c r="T33" t="s">
        <v>40</v>
      </c>
    </row>
    <row r="34" spans="1:20" x14ac:dyDescent="0.25">
      <c r="A34" t="s">
        <v>20</v>
      </c>
      <c r="B34" t="s">
        <v>144</v>
      </c>
      <c r="C34" s="1">
        <v>45939</v>
      </c>
      <c r="D34" t="s">
        <v>145</v>
      </c>
      <c r="E34" t="s">
        <v>23</v>
      </c>
      <c r="F34" t="s">
        <v>24</v>
      </c>
      <c r="G34">
        <v>48</v>
      </c>
      <c r="H34" t="s">
        <v>51</v>
      </c>
      <c r="I34" t="s">
        <v>26</v>
      </c>
      <c r="J34" t="s">
        <v>111</v>
      </c>
      <c r="K34" t="s">
        <v>68</v>
      </c>
      <c r="L34">
        <v>1</v>
      </c>
      <c r="M34">
        <v>126000</v>
      </c>
      <c r="N34">
        <v>5</v>
      </c>
      <c r="O34">
        <v>119700</v>
      </c>
      <c r="P34">
        <v>11943.56</v>
      </c>
      <c r="Q34" t="s">
        <v>74</v>
      </c>
      <c r="R34" t="s">
        <v>60</v>
      </c>
      <c r="S34" t="s">
        <v>39</v>
      </c>
      <c r="T34" t="s">
        <v>32</v>
      </c>
    </row>
    <row r="35" spans="1:20" x14ac:dyDescent="0.25">
      <c r="A35" t="s">
        <v>20</v>
      </c>
      <c r="B35" t="s">
        <v>146</v>
      </c>
      <c r="C35" s="1">
        <v>45723</v>
      </c>
      <c r="D35" t="s">
        <v>147</v>
      </c>
      <c r="E35" t="s">
        <v>94</v>
      </c>
      <c r="F35" t="s">
        <v>24</v>
      </c>
      <c r="G35">
        <v>46</v>
      </c>
      <c r="H35" t="s">
        <v>73</v>
      </c>
      <c r="I35" t="s">
        <v>26</v>
      </c>
      <c r="J35" t="s">
        <v>45</v>
      </c>
      <c r="K35" t="s">
        <v>58</v>
      </c>
      <c r="L35">
        <v>1</v>
      </c>
      <c r="M35">
        <v>100000</v>
      </c>
      <c r="N35">
        <v>2</v>
      </c>
      <c r="O35">
        <v>98000</v>
      </c>
      <c r="P35">
        <v>11522.97</v>
      </c>
      <c r="Q35" t="s">
        <v>59</v>
      </c>
      <c r="R35" t="s">
        <v>30</v>
      </c>
      <c r="S35" t="s">
        <v>31</v>
      </c>
      <c r="T35" t="s">
        <v>40</v>
      </c>
    </row>
    <row r="36" spans="1:20" x14ac:dyDescent="0.25">
      <c r="A36" t="s">
        <v>20</v>
      </c>
      <c r="B36" t="s">
        <v>148</v>
      </c>
      <c r="C36" s="1">
        <v>46018</v>
      </c>
      <c r="D36" t="s">
        <v>149</v>
      </c>
      <c r="E36" t="s">
        <v>94</v>
      </c>
      <c r="F36" t="s">
        <v>24</v>
      </c>
      <c r="G36">
        <v>39</v>
      </c>
      <c r="H36" t="s">
        <v>25</v>
      </c>
      <c r="I36" t="s">
        <v>26</v>
      </c>
      <c r="J36" t="s">
        <v>77</v>
      </c>
      <c r="K36" t="s">
        <v>68</v>
      </c>
      <c r="L36">
        <v>0</v>
      </c>
      <c r="M36">
        <v>196000</v>
      </c>
      <c r="N36">
        <v>5</v>
      </c>
      <c r="O36">
        <v>372400</v>
      </c>
      <c r="P36">
        <v>44202.87</v>
      </c>
      <c r="Q36" t="s">
        <v>46</v>
      </c>
      <c r="R36" t="s">
        <v>96</v>
      </c>
      <c r="S36" t="s">
        <v>39</v>
      </c>
      <c r="T36" t="s">
        <v>40</v>
      </c>
    </row>
    <row r="37" spans="1:20" x14ac:dyDescent="0.25">
      <c r="A37" t="s">
        <v>20</v>
      </c>
      <c r="B37" t="s">
        <v>150</v>
      </c>
      <c r="C37" s="1">
        <v>45827</v>
      </c>
      <c r="D37" t="s">
        <v>151</v>
      </c>
      <c r="E37" t="s">
        <v>129</v>
      </c>
      <c r="F37" t="s">
        <v>55</v>
      </c>
      <c r="G37">
        <v>49</v>
      </c>
      <c r="H37" t="s">
        <v>25</v>
      </c>
      <c r="I37" t="s">
        <v>26</v>
      </c>
      <c r="J37" t="s">
        <v>57</v>
      </c>
      <c r="K37" t="s">
        <v>58</v>
      </c>
      <c r="L37">
        <v>1</v>
      </c>
      <c r="M37">
        <v>177000</v>
      </c>
      <c r="N37">
        <v>10</v>
      </c>
      <c r="O37">
        <v>159300</v>
      </c>
      <c r="P37">
        <v>4287.46</v>
      </c>
      <c r="Q37" t="s">
        <v>105</v>
      </c>
      <c r="R37" t="s">
        <v>30</v>
      </c>
      <c r="S37" t="s">
        <v>61</v>
      </c>
      <c r="T37" t="s">
        <v>40</v>
      </c>
    </row>
    <row r="38" spans="1:20" x14ac:dyDescent="0.25">
      <c r="A38" t="s">
        <v>20</v>
      </c>
      <c r="B38" t="s">
        <v>152</v>
      </c>
      <c r="C38" s="1">
        <v>46123</v>
      </c>
      <c r="D38" t="s">
        <v>153</v>
      </c>
      <c r="E38" t="s">
        <v>43</v>
      </c>
      <c r="F38" t="s">
        <v>24</v>
      </c>
      <c r="G38">
        <v>40</v>
      </c>
      <c r="H38" t="s">
        <v>85</v>
      </c>
      <c r="I38" t="s">
        <v>26</v>
      </c>
      <c r="J38" t="s">
        <v>45</v>
      </c>
      <c r="K38" t="s">
        <v>101</v>
      </c>
      <c r="L38">
        <v>1</v>
      </c>
      <c r="M38">
        <v>98000</v>
      </c>
      <c r="N38">
        <v>5</v>
      </c>
      <c r="O38">
        <v>93100</v>
      </c>
      <c r="P38">
        <v>12810.33</v>
      </c>
      <c r="Q38" t="s">
        <v>59</v>
      </c>
      <c r="R38" t="s">
        <v>60</v>
      </c>
      <c r="S38" t="s">
        <v>69</v>
      </c>
      <c r="T38" t="s">
        <v>40</v>
      </c>
    </row>
    <row r="39" spans="1:20" x14ac:dyDescent="0.25">
      <c r="A39" t="s">
        <v>20</v>
      </c>
      <c r="B39" t="s">
        <v>154</v>
      </c>
      <c r="C39" s="1">
        <v>45699</v>
      </c>
      <c r="D39" t="s">
        <v>155</v>
      </c>
      <c r="E39" t="s">
        <v>50</v>
      </c>
      <c r="F39" t="s">
        <v>55</v>
      </c>
      <c r="G39">
        <v>21</v>
      </c>
      <c r="H39" t="s">
        <v>25</v>
      </c>
      <c r="I39" t="s">
        <v>26</v>
      </c>
      <c r="J39" t="s">
        <v>118</v>
      </c>
      <c r="K39" t="s">
        <v>28</v>
      </c>
      <c r="L39">
        <v>3</v>
      </c>
      <c r="M39">
        <v>85000</v>
      </c>
      <c r="N39">
        <v>2</v>
      </c>
      <c r="O39">
        <v>249900</v>
      </c>
      <c r="P39">
        <v>31105.59</v>
      </c>
      <c r="Q39" t="s">
        <v>37</v>
      </c>
      <c r="R39" t="s">
        <v>96</v>
      </c>
      <c r="S39" t="s">
        <v>31</v>
      </c>
      <c r="T39" t="s">
        <v>40</v>
      </c>
    </row>
    <row r="40" spans="1:20" x14ac:dyDescent="0.25">
      <c r="A40" t="s">
        <v>20</v>
      </c>
      <c r="B40" t="s">
        <v>156</v>
      </c>
      <c r="C40" s="1">
        <v>45775</v>
      </c>
      <c r="D40" t="s">
        <v>157</v>
      </c>
      <c r="E40" t="s">
        <v>72</v>
      </c>
      <c r="F40" t="s">
        <v>55</v>
      </c>
      <c r="G40">
        <v>30</v>
      </c>
      <c r="H40" t="s">
        <v>44</v>
      </c>
      <c r="I40" t="s">
        <v>26</v>
      </c>
      <c r="J40" t="s">
        <v>158</v>
      </c>
      <c r="K40" t="s">
        <v>28</v>
      </c>
      <c r="L40">
        <v>1</v>
      </c>
      <c r="M40">
        <v>95000</v>
      </c>
      <c r="N40">
        <v>3</v>
      </c>
      <c r="O40">
        <v>92150</v>
      </c>
      <c r="P40">
        <v>16137.2</v>
      </c>
      <c r="Q40" t="s">
        <v>74</v>
      </c>
      <c r="R40" t="s">
        <v>38</v>
      </c>
      <c r="S40" t="s">
        <v>47</v>
      </c>
      <c r="T40" t="s">
        <v>32</v>
      </c>
    </row>
    <row r="41" spans="1:20" x14ac:dyDescent="0.25">
      <c r="A41" t="s">
        <v>20</v>
      </c>
      <c r="B41" t="s">
        <v>159</v>
      </c>
      <c r="C41" s="1">
        <v>45781</v>
      </c>
      <c r="D41" t="s">
        <v>160</v>
      </c>
      <c r="E41" t="s">
        <v>43</v>
      </c>
      <c r="F41" t="s">
        <v>24</v>
      </c>
      <c r="G41">
        <v>22</v>
      </c>
      <c r="H41" t="s">
        <v>44</v>
      </c>
      <c r="I41" t="s">
        <v>26</v>
      </c>
      <c r="J41" t="s">
        <v>27</v>
      </c>
      <c r="K41" t="s">
        <v>101</v>
      </c>
      <c r="L41">
        <v>1</v>
      </c>
      <c r="M41">
        <v>95000</v>
      </c>
      <c r="N41">
        <v>10</v>
      </c>
      <c r="O41">
        <v>85500</v>
      </c>
      <c r="P41">
        <v>4555.3100000000004</v>
      </c>
      <c r="Q41" t="s">
        <v>82</v>
      </c>
      <c r="R41" t="s">
        <v>60</v>
      </c>
      <c r="S41" t="s">
        <v>69</v>
      </c>
      <c r="T41" t="s">
        <v>40</v>
      </c>
    </row>
    <row r="42" spans="1:20" x14ac:dyDescent="0.25">
      <c r="A42" t="s">
        <v>20</v>
      </c>
      <c r="B42" t="s">
        <v>161</v>
      </c>
      <c r="C42" s="1">
        <v>46128</v>
      </c>
      <c r="D42" t="s">
        <v>162</v>
      </c>
      <c r="E42" t="s">
        <v>94</v>
      </c>
      <c r="F42" t="s">
        <v>55</v>
      </c>
      <c r="G42">
        <v>29</v>
      </c>
      <c r="H42" t="s">
        <v>108</v>
      </c>
      <c r="I42" t="s">
        <v>26</v>
      </c>
      <c r="J42" t="s">
        <v>57</v>
      </c>
      <c r="K42" t="s">
        <v>101</v>
      </c>
      <c r="L42">
        <v>1</v>
      </c>
      <c r="M42">
        <v>175000</v>
      </c>
      <c r="N42">
        <v>10</v>
      </c>
      <c r="O42">
        <v>157500</v>
      </c>
      <c r="P42">
        <v>2276.92</v>
      </c>
      <c r="Q42" t="s">
        <v>46</v>
      </c>
      <c r="R42" t="s">
        <v>38</v>
      </c>
      <c r="S42" t="s">
        <v>47</v>
      </c>
      <c r="T42" t="s">
        <v>40</v>
      </c>
    </row>
    <row r="43" spans="1:20" x14ac:dyDescent="0.25">
      <c r="A43" t="s">
        <v>20</v>
      </c>
      <c r="B43" t="s">
        <v>163</v>
      </c>
      <c r="C43" s="1">
        <v>45907</v>
      </c>
      <c r="D43" t="s">
        <v>164</v>
      </c>
      <c r="E43" t="s">
        <v>94</v>
      </c>
      <c r="F43" t="s">
        <v>24</v>
      </c>
      <c r="G43">
        <v>49</v>
      </c>
      <c r="H43" t="s">
        <v>44</v>
      </c>
      <c r="I43" t="s">
        <v>26</v>
      </c>
      <c r="J43" t="s">
        <v>64</v>
      </c>
      <c r="K43" t="s">
        <v>28</v>
      </c>
      <c r="L43">
        <v>1</v>
      </c>
      <c r="M43">
        <v>123000</v>
      </c>
      <c r="N43">
        <v>3</v>
      </c>
      <c r="O43">
        <v>119310</v>
      </c>
      <c r="P43">
        <v>10357.120000000001</v>
      </c>
      <c r="Q43" t="s">
        <v>46</v>
      </c>
      <c r="R43" t="s">
        <v>60</v>
      </c>
      <c r="S43" t="s">
        <v>31</v>
      </c>
      <c r="T43" t="s">
        <v>40</v>
      </c>
    </row>
    <row r="44" spans="1:20" x14ac:dyDescent="0.25">
      <c r="A44" t="s">
        <v>20</v>
      </c>
      <c r="B44" t="s">
        <v>165</v>
      </c>
      <c r="C44" s="1">
        <v>45940</v>
      </c>
      <c r="D44" t="s">
        <v>166</v>
      </c>
      <c r="E44" t="s">
        <v>80</v>
      </c>
      <c r="F44" t="s">
        <v>55</v>
      </c>
      <c r="G44">
        <v>55</v>
      </c>
      <c r="H44" t="s">
        <v>56</v>
      </c>
      <c r="I44" t="s">
        <v>26</v>
      </c>
      <c r="J44" t="s">
        <v>111</v>
      </c>
      <c r="K44" t="s">
        <v>28</v>
      </c>
      <c r="L44">
        <v>1</v>
      </c>
      <c r="M44">
        <v>125000</v>
      </c>
      <c r="N44">
        <v>3</v>
      </c>
      <c r="O44">
        <v>121250</v>
      </c>
      <c r="P44">
        <v>10545.2</v>
      </c>
      <c r="Q44" t="s">
        <v>52</v>
      </c>
      <c r="R44" t="s">
        <v>38</v>
      </c>
      <c r="S44" t="s">
        <v>47</v>
      </c>
      <c r="T44" t="s">
        <v>32</v>
      </c>
    </row>
    <row r="45" spans="1:20" x14ac:dyDescent="0.25">
      <c r="A45" t="s">
        <v>20</v>
      </c>
      <c r="B45" t="s">
        <v>167</v>
      </c>
      <c r="C45" s="1">
        <v>46072</v>
      </c>
      <c r="D45" t="s">
        <v>168</v>
      </c>
      <c r="E45" t="s">
        <v>72</v>
      </c>
      <c r="F45" t="s">
        <v>24</v>
      </c>
      <c r="G45">
        <v>35</v>
      </c>
      <c r="H45" t="s">
        <v>85</v>
      </c>
      <c r="I45" t="s">
        <v>26</v>
      </c>
      <c r="J45" t="s">
        <v>57</v>
      </c>
      <c r="K45" t="s">
        <v>58</v>
      </c>
      <c r="L45">
        <v>0</v>
      </c>
      <c r="M45">
        <v>173000</v>
      </c>
      <c r="N45">
        <v>0</v>
      </c>
      <c r="O45">
        <v>173000</v>
      </c>
      <c r="P45">
        <v>31951.67</v>
      </c>
      <c r="Q45" t="s">
        <v>86</v>
      </c>
      <c r="R45" t="s">
        <v>38</v>
      </c>
      <c r="S45" t="s">
        <v>61</v>
      </c>
      <c r="T45" t="s">
        <v>40</v>
      </c>
    </row>
    <row r="46" spans="1:20" x14ac:dyDescent="0.25">
      <c r="A46" t="s">
        <v>20</v>
      </c>
      <c r="B46" t="s">
        <v>169</v>
      </c>
      <c r="C46" s="1">
        <v>45855</v>
      </c>
      <c r="D46" t="s">
        <v>170</v>
      </c>
      <c r="E46" t="s">
        <v>23</v>
      </c>
      <c r="F46" t="s">
        <v>55</v>
      </c>
      <c r="G46">
        <v>40</v>
      </c>
      <c r="H46" t="s">
        <v>85</v>
      </c>
      <c r="I46" t="s">
        <v>26</v>
      </c>
      <c r="J46" t="s">
        <v>64</v>
      </c>
      <c r="K46" t="s">
        <v>68</v>
      </c>
      <c r="L46">
        <v>1</v>
      </c>
      <c r="M46">
        <v>125000</v>
      </c>
      <c r="N46">
        <v>2</v>
      </c>
      <c r="O46">
        <v>122500</v>
      </c>
      <c r="P46">
        <v>23190.16</v>
      </c>
      <c r="Q46" t="s">
        <v>52</v>
      </c>
      <c r="R46" t="s">
        <v>38</v>
      </c>
      <c r="S46" t="s">
        <v>39</v>
      </c>
      <c r="T46" t="s">
        <v>40</v>
      </c>
    </row>
    <row r="47" spans="1:20" x14ac:dyDescent="0.25">
      <c r="A47" t="s">
        <v>20</v>
      </c>
      <c r="B47" t="s">
        <v>171</v>
      </c>
      <c r="C47" s="1">
        <v>46204</v>
      </c>
      <c r="D47" t="s">
        <v>172</v>
      </c>
      <c r="E47" t="s">
        <v>72</v>
      </c>
      <c r="F47" t="s">
        <v>55</v>
      </c>
      <c r="G47">
        <v>28</v>
      </c>
      <c r="H47" t="s">
        <v>44</v>
      </c>
      <c r="I47" t="s">
        <v>26</v>
      </c>
      <c r="J47" t="s">
        <v>27</v>
      </c>
      <c r="K47" t="s">
        <v>28</v>
      </c>
      <c r="L47">
        <v>1</v>
      </c>
      <c r="M47">
        <v>95000</v>
      </c>
      <c r="N47">
        <v>2</v>
      </c>
      <c r="O47">
        <v>93100</v>
      </c>
      <c r="P47">
        <v>15554.15</v>
      </c>
      <c r="Q47" t="s">
        <v>74</v>
      </c>
      <c r="R47" t="s">
        <v>96</v>
      </c>
      <c r="S47" t="s">
        <v>61</v>
      </c>
      <c r="T47" t="s">
        <v>40</v>
      </c>
    </row>
    <row r="48" spans="1:20" x14ac:dyDescent="0.25">
      <c r="A48" t="s">
        <v>20</v>
      </c>
      <c r="B48" t="s">
        <v>173</v>
      </c>
      <c r="C48" s="1">
        <v>45846</v>
      </c>
      <c r="D48" t="s">
        <v>174</v>
      </c>
      <c r="E48" t="s">
        <v>72</v>
      </c>
      <c r="F48" t="s">
        <v>24</v>
      </c>
      <c r="G48">
        <v>23</v>
      </c>
      <c r="H48" t="s">
        <v>25</v>
      </c>
      <c r="I48" t="s">
        <v>26</v>
      </c>
      <c r="J48" t="s">
        <v>27</v>
      </c>
      <c r="K48" t="s">
        <v>28</v>
      </c>
      <c r="L48">
        <v>1</v>
      </c>
      <c r="M48">
        <v>95000</v>
      </c>
      <c r="N48">
        <v>5</v>
      </c>
      <c r="O48">
        <v>90250</v>
      </c>
      <c r="P48">
        <v>11128.66</v>
      </c>
      <c r="Q48" t="s">
        <v>82</v>
      </c>
      <c r="R48" t="s">
        <v>38</v>
      </c>
      <c r="S48" t="s">
        <v>47</v>
      </c>
      <c r="T48" t="s">
        <v>32</v>
      </c>
    </row>
    <row r="49" spans="1:20" x14ac:dyDescent="0.25">
      <c r="A49" t="s">
        <v>20</v>
      </c>
      <c r="B49" t="s">
        <v>175</v>
      </c>
      <c r="C49" s="1">
        <v>45912</v>
      </c>
      <c r="D49" t="s">
        <v>176</v>
      </c>
      <c r="E49" t="s">
        <v>94</v>
      </c>
      <c r="F49" t="s">
        <v>55</v>
      </c>
      <c r="G49">
        <v>27</v>
      </c>
      <c r="H49" t="s">
        <v>25</v>
      </c>
      <c r="I49" t="s">
        <v>26</v>
      </c>
      <c r="J49" t="s">
        <v>81</v>
      </c>
      <c r="K49" t="s">
        <v>58</v>
      </c>
      <c r="L49">
        <v>1</v>
      </c>
      <c r="M49">
        <v>236000</v>
      </c>
      <c r="N49">
        <v>3</v>
      </c>
      <c r="O49">
        <v>228920</v>
      </c>
      <c r="P49">
        <v>42427.68</v>
      </c>
      <c r="Q49" t="s">
        <v>46</v>
      </c>
      <c r="R49" t="s">
        <v>38</v>
      </c>
      <c r="S49" t="s">
        <v>39</v>
      </c>
      <c r="T49" t="s">
        <v>40</v>
      </c>
    </row>
    <row r="50" spans="1:20" x14ac:dyDescent="0.25">
      <c r="A50" t="s">
        <v>20</v>
      </c>
      <c r="B50" t="s">
        <v>177</v>
      </c>
      <c r="C50" s="1">
        <v>45870</v>
      </c>
      <c r="D50" t="s">
        <v>178</v>
      </c>
      <c r="E50" t="s">
        <v>72</v>
      </c>
      <c r="F50" t="s">
        <v>55</v>
      </c>
      <c r="G50">
        <v>33</v>
      </c>
      <c r="H50" t="s">
        <v>25</v>
      </c>
      <c r="I50" t="s">
        <v>26</v>
      </c>
      <c r="J50" t="s">
        <v>104</v>
      </c>
      <c r="K50" t="s">
        <v>68</v>
      </c>
      <c r="L50">
        <v>1</v>
      </c>
      <c r="M50">
        <v>172000</v>
      </c>
      <c r="N50">
        <v>0</v>
      </c>
      <c r="O50">
        <v>172000</v>
      </c>
      <c r="P50">
        <v>18281.740000000002</v>
      </c>
      <c r="Q50" t="s">
        <v>52</v>
      </c>
      <c r="R50" t="s">
        <v>96</v>
      </c>
      <c r="S50" t="s">
        <v>87</v>
      </c>
      <c r="T50" t="s">
        <v>32</v>
      </c>
    </row>
    <row r="51" spans="1:20" x14ac:dyDescent="0.25">
      <c r="A51" t="s">
        <v>20</v>
      </c>
      <c r="B51" t="s">
        <v>179</v>
      </c>
      <c r="C51" s="1">
        <v>45691</v>
      </c>
      <c r="D51" t="s">
        <v>180</v>
      </c>
      <c r="E51" t="s">
        <v>72</v>
      </c>
      <c r="F51" t="s">
        <v>24</v>
      </c>
      <c r="G51">
        <v>34</v>
      </c>
      <c r="H51" t="s">
        <v>25</v>
      </c>
      <c r="I51" t="s">
        <v>26</v>
      </c>
      <c r="J51" t="s">
        <v>45</v>
      </c>
      <c r="K51" t="s">
        <v>58</v>
      </c>
      <c r="L51">
        <v>1</v>
      </c>
      <c r="M51">
        <v>100000</v>
      </c>
      <c r="N51">
        <v>7</v>
      </c>
      <c r="O51">
        <v>93000</v>
      </c>
      <c r="P51">
        <v>9361.0499999999993</v>
      </c>
      <c r="Q51" t="s">
        <v>82</v>
      </c>
      <c r="R51" t="s">
        <v>96</v>
      </c>
      <c r="S51" t="s">
        <v>39</v>
      </c>
      <c r="T51" t="s">
        <v>32</v>
      </c>
    </row>
    <row r="52" spans="1:20" x14ac:dyDescent="0.25">
      <c r="A52" t="s">
        <v>20</v>
      </c>
      <c r="B52" t="s">
        <v>181</v>
      </c>
      <c r="C52" s="1">
        <v>45803</v>
      </c>
      <c r="D52" t="s">
        <v>182</v>
      </c>
      <c r="E52" t="s">
        <v>80</v>
      </c>
      <c r="F52" t="s">
        <v>55</v>
      </c>
      <c r="G52">
        <v>24</v>
      </c>
      <c r="H52" t="s">
        <v>108</v>
      </c>
      <c r="I52" t="s">
        <v>26</v>
      </c>
      <c r="J52" t="s">
        <v>77</v>
      </c>
      <c r="K52" t="s">
        <v>101</v>
      </c>
      <c r="L52">
        <v>1</v>
      </c>
      <c r="M52">
        <v>197000</v>
      </c>
      <c r="N52">
        <v>2</v>
      </c>
      <c r="O52">
        <v>193060</v>
      </c>
      <c r="P52">
        <v>17925.150000000001</v>
      </c>
      <c r="Q52" t="s">
        <v>74</v>
      </c>
      <c r="R52" t="s">
        <v>38</v>
      </c>
      <c r="S52" t="s">
        <v>69</v>
      </c>
      <c r="T52" t="s">
        <v>40</v>
      </c>
    </row>
    <row r="53" spans="1:20" x14ac:dyDescent="0.25">
      <c r="A53" t="s">
        <v>20</v>
      </c>
      <c r="B53" t="s">
        <v>183</v>
      </c>
      <c r="C53" s="1">
        <v>45740</v>
      </c>
      <c r="D53" t="s">
        <v>184</v>
      </c>
      <c r="E53" t="s">
        <v>94</v>
      </c>
      <c r="F53" t="s">
        <v>24</v>
      </c>
      <c r="G53">
        <v>22</v>
      </c>
      <c r="H53" t="s">
        <v>95</v>
      </c>
      <c r="I53" t="s">
        <v>26</v>
      </c>
      <c r="J53" t="s">
        <v>104</v>
      </c>
      <c r="K53" t="s">
        <v>101</v>
      </c>
      <c r="L53">
        <v>2</v>
      </c>
      <c r="M53">
        <v>171000</v>
      </c>
      <c r="N53">
        <v>7</v>
      </c>
      <c r="O53">
        <v>318060</v>
      </c>
      <c r="P53">
        <v>31034.639999999999</v>
      </c>
      <c r="Q53" t="s">
        <v>105</v>
      </c>
      <c r="R53" t="s">
        <v>30</v>
      </c>
      <c r="S53" t="s">
        <v>31</v>
      </c>
      <c r="T53" t="s">
        <v>32</v>
      </c>
    </row>
    <row r="54" spans="1:20" x14ac:dyDescent="0.25">
      <c r="A54" t="s">
        <v>20</v>
      </c>
      <c r="B54" t="s">
        <v>185</v>
      </c>
      <c r="C54" s="1">
        <v>46110</v>
      </c>
      <c r="D54" t="s">
        <v>186</v>
      </c>
      <c r="E54" t="s">
        <v>129</v>
      </c>
      <c r="F54" t="s">
        <v>24</v>
      </c>
      <c r="G54">
        <v>37</v>
      </c>
      <c r="H54" t="s">
        <v>25</v>
      </c>
      <c r="I54" t="s">
        <v>26</v>
      </c>
      <c r="J54" t="s">
        <v>104</v>
      </c>
      <c r="K54" t="s">
        <v>58</v>
      </c>
      <c r="L54">
        <v>1</v>
      </c>
      <c r="M54">
        <v>169000</v>
      </c>
      <c r="N54">
        <v>5</v>
      </c>
      <c r="O54">
        <v>160550</v>
      </c>
      <c r="P54">
        <v>18205.41</v>
      </c>
      <c r="Q54" t="s">
        <v>82</v>
      </c>
      <c r="R54" t="s">
        <v>38</v>
      </c>
      <c r="S54" t="s">
        <v>39</v>
      </c>
      <c r="T54" t="s">
        <v>40</v>
      </c>
    </row>
    <row r="55" spans="1:20" x14ac:dyDescent="0.25">
      <c r="A55" t="s">
        <v>20</v>
      </c>
      <c r="B55" t="s">
        <v>187</v>
      </c>
      <c r="C55" s="1">
        <v>46165</v>
      </c>
      <c r="D55" t="s">
        <v>188</v>
      </c>
      <c r="E55" t="s">
        <v>94</v>
      </c>
      <c r="F55" t="s">
        <v>55</v>
      </c>
      <c r="G55">
        <v>38</v>
      </c>
      <c r="H55" t="s">
        <v>56</v>
      </c>
      <c r="I55" t="s">
        <v>26</v>
      </c>
      <c r="J55" t="s">
        <v>64</v>
      </c>
      <c r="K55" t="s">
        <v>58</v>
      </c>
      <c r="L55">
        <v>1</v>
      </c>
      <c r="M55">
        <v>124000</v>
      </c>
      <c r="N55">
        <v>3</v>
      </c>
      <c r="O55">
        <v>120280</v>
      </c>
      <c r="P55">
        <v>17434.72</v>
      </c>
      <c r="Q55" t="s">
        <v>82</v>
      </c>
      <c r="R55" t="s">
        <v>60</v>
      </c>
      <c r="S55" t="s">
        <v>39</v>
      </c>
      <c r="T55" t="s">
        <v>40</v>
      </c>
    </row>
    <row r="56" spans="1:20" x14ac:dyDescent="0.25">
      <c r="A56" t="s">
        <v>20</v>
      </c>
      <c r="B56" t="s">
        <v>189</v>
      </c>
      <c r="C56" s="1">
        <v>46131</v>
      </c>
      <c r="D56" t="s">
        <v>190</v>
      </c>
      <c r="E56" t="s">
        <v>80</v>
      </c>
      <c r="F56" t="s">
        <v>55</v>
      </c>
      <c r="G56">
        <v>46</v>
      </c>
      <c r="H56" t="s">
        <v>191</v>
      </c>
      <c r="I56" t="s">
        <v>26</v>
      </c>
      <c r="J56" t="s">
        <v>27</v>
      </c>
      <c r="K56" t="s">
        <v>101</v>
      </c>
      <c r="L56">
        <v>2</v>
      </c>
      <c r="M56">
        <v>93000</v>
      </c>
      <c r="N56">
        <v>10</v>
      </c>
      <c r="O56">
        <v>167400</v>
      </c>
      <c r="P56">
        <v>2915.72</v>
      </c>
      <c r="Q56" t="s">
        <v>105</v>
      </c>
      <c r="R56" t="s">
        <v>38</v>
      </c>
      <c r="S56" t="s">
        <v>69</v>
      </c>
      <c r="T56" t="s">
        <v>32</v>
      </c>
    </row>
    <row r="57" spans="1:20" x14ac:dyDescent="0.25">
      <c r="A57" t="s">
        <v>20</v>
      </c>
      <c r="B57" t="s">
        <v>192</v>
      </c>
      <c r="C57" s="1">
        <v>45687</v>
      </c>
      <c r="D57" t="s">
        <v>193</v>
      </c>
      <c r="E57" t="s">
        <v>129</v>
      </c>
      <c r="F57" t="s">
        <v>24</v>
      </c>
      <c r="G57">
        <v>35</v>
      </c>
      <c r="H57" t="s">
        <v>194</v>
      </c>
      <c r="I57" t="s">
        <v>26</v>
      </c>
      <c r="J57" t="s">
        <v>104</v>
      </c>
      <c r="K57" t="s">
        <v>28</v>
      </c>
      <c r="L57">
        <v>2</v>
      </c>
      <c r="M57">
        <v>170000</v>
      </c>
      <c r="N57">
        <v>10</v>
      </c>
      <c r="O57">
        <v>306000</v>
      </c>
      <c r="P57">
        <v>21023.759999999998</v>
      </c>
      <c r="Q57" t="s">
        <v>59</v>
      </c>
      <c r="R57" t="s">
        <v>30</v>
      </c>
      <c r="S57" t="s">
        <v>31</v>
      </c>
      <c r="T57" t="s">
        <v>32</v>
      </c>
    </row>
    <row r="58" spans="1:20" x14ac:dyDescent="0.25">
      <c r="A58" t="s">
        <v>20</v>
      </c>
      <c r="B58" t="s">
        <v>195</v>
      </c>
      <c r="C58" s="1">
        <v>45956</v>
      </c>
      <c r="D58" t="s">
        <v>196</v>
      </c>
      <c r="E58" t="s">
        <v>72</v>
      </c>
      <c r="F58" t="s">
        <v>24</v>
      </c>
      <c r="G58">
        <v>0</v>
      </c>
      <c r="H58" t="s">
        <v>197</v>
      </c>
      <c r="I58" t="s">
        <v>26</v>
      </c>
      <c r="J58" t="s">
        <v>57</v>
      </c>
      <c r="K58" t="s">
        <v>58</v>
      </c>
      <c r="L58">
        <v>1</v>
      </c>
      <c r="M58">
        <v>174000</v>
      </c>
      <c r="N58">
        <v>5</v>
      </c>
      <c r="O58">
        <v>165300</v>
      </c>
      <c r="P58">
        <v>10106.200000000001</v>
      </c>
      <c r="Q58" t="s">
        <v>46</v>
      </c>
      <c r="R58" t="s">
        <v>96</v>
      </c>
      <c r="S58" t="s">
        <v>47</v>
      </c>
      <c r="T58" t="s">
        <v>32</v>
      </c>
    </row>
    <row r="59" spans="1:20" x14ac:dyDescent="0.25">
      <c r="A59" t="s">
        <v>20</v>
      </c>
      <c r="B59" t="s">
        <v>198</v>
      </c>
      <c r="C59" s="1">
        <v>45729</v>
      </c>
      <c r="D59" t="s">
        <v>199</v>
      </c>
      <c r="E59" t="s">
        <v>94</v>
      </c>
      <c r="F59" t="s">
        <v>24</v>
      </c>
      <c r="G59">
        <v>37</v>
      </c>
      <c r="H59" t="s">
        <v>44</v>
      </c>
      <c r="I59" t="s">
        <v>26</v>
      </c>
      <c r="J59" t="s">
        <v>77</v>
      </c>
      <c r="K59" t="s">
        <v>101</v>
      </c>
      <c r="L59">
        <v>2</v>
      </c>
      <c r="M59">
        <v>196000</v>
      </c>
      <c r="N59">
        <v>10</v>
      </c>
      <c r="O59">
        <v>352800</v>
      </c>
      <c r="P59">
        <v>5676.49</v>
      </c>
      <c r="Q59" t="s">
        <v>105</v>
      </c>
      <c r="R59" t="s">
        <v>60</v>
      </c>
      <c r="S59" t="s">
        <v>61</v>
      </c>
      <c r="T59" t="s">
        <v>40</v>
      </c>
    </row>
    <row r="60" spans="1:20" x14ac:dyDescent="0.25">
      <c r="A60" t="s">
        <v>20</v>
      </c>
      <c r="B60" t="s">
        <v>200</v>
      </c>
      <c r="C60" s="1">
        <v>45998</v>
      </c>
      <c r="D60" t="s">
        <v>201</v>
      </c>
      <c r="E60" t="s">
        <v>94</v>
      </c>
      <c r="F60" t="s">
        <v>24</v>
      </c>
      <c r="G60">
        <v>55</v>
      </c>
      <c r="H60" t="s">
        <v>85</v>
      </c>
      <c r="I60" t="s">
        <v>26</v>
      </c>
      <c r="J60" t="s">
        <v>81</v>
      </c>
      <c r="K60" t="s">
        <v>101</v>
      </c>
      <c r="L60">
        <v>2</v>
      </c>
      <c r="M60">
        <v>235000</v>
      </c>
      <c r="N60">
        <v>7</v>
      </c>
      <c r="O60">
        <v>437100</v>
      </c>
      <c r="P60">
        <v>43183.15</v>
      </c>
      <c r="Q60" t="s">
        <v>52</v>
      </c>
      <c r="R60" t="s">
        <v>96</v>
      </c>
      <c r="S60" t="s">
        <v>87</v>
      </c>
      <c r="T60" t="s">
        <v>40</v>
      </c>
    </row>
    <row r="61" spans="1:20" x14ac:dyDescent="0.25">
      <c r="A61" t="s">
        <v>20</v>
      </c>
      <c r="B61" t="s">
        <v>202</v>
      </c>
      <c r="C61" s="1">
        <v>46048</v>
      </c>
      <c r="D61" t="s">
        <v>203</v>
      </c>
      <c r="E61" t="s">
        <v>129</v>
      </c>
      <c r="F61" t="s">
        <v>24</v>
      </c>
      <c r="G61">
        <v>44</v>
      </c>
      <c r="H61" t="s">
        <v>95</v>
      </c>
      <c r="I61" t="s">
        <v>26</v>
      </c>
      <c r="J61" t="s">
        <v>111</v>
      </c>
      <c r="K61" t="s">
        <v>28</v>
      </c>
      <c r="L61">
        <v>1</v>
      </c>
      <c r="M61">
        <v>127000</v>
      </c>
      <c r="N61">
        <v>5</v>
      </c>
      <c r="O61">
        <v>120650</v>
      </c>
      <c r="P61">
        <v>10842.33</v>
      </c>
      <c r="Q61" t="s">
        <v>37</v>
      </c>
      <c r="R61" t="s">
        <v>60</v>
      </c>
      <c r="S61" t="s">
        <v>69</v>
      </c>
      <c r="T61" t="s">
        <v>40</v>
      </c>
    </row>
    <row r="62" spans="1:20" x14ac:dyDescent="0.25">
      <c r="A62" t="s">
        <v>20</v>
      </c>
      <c r="B62" t="s">
        <v>204</v>
      </c>
      <c r="C62" s="1">
        <v>45816</v>
      </c>
      <c r="D62" t="s">
        <v>205</v>
      </c>
      <c r="E62" t="s">
        <v>35</v>
      </c>
      <c r="F62" t="s">
        <v>24</v>
      </c>
      <c r="G62">
        <v>24</v>
      </c>
      <c r="H62" t="s">
        <v>85</v>
      </c>
      <c r="I62" t="s">
        <v>26</v>
      </c>
      <c r="J62" t="s">
        <v>27</v>
      </c>
      <c r="K62" t="s">
        <v>101</v>
      </c>
      <c r="L62">
        <v>1</v>
      </c>
      <c r="M62">
        <v>94000</v>
      </c>
      <c r="N62">
        <v>5</v>
      </c>
      <c r="O62">
        <v>89300</v>
      </c>
      <c r="P62">
        <v>6155.88</v>
      </c>
      <c r="Q62" t="s">
        <v>59</v>
      </c>
      <c r="R62" t="s">
        <v>30</v>
      </c>
      <c r="S62" t="s">
        <v>39</v>
      </c>
      <c r="T62" t="s">
        <v>40</v>
      </c>
    </row>
    <row r="63" spans="1:20" x14ac:dyDescent="0.25">
      <c r="A63" t="s">
        <v>20</v>
      </c>
      <c r="B63" t="s">
        <v>206</v>
      </c>
      <c r="C63" s="1">
        <v>45952</v>
      </c>
      <c r="D63" t="s">
        <v>207</v>
      </c>
      <c r="E63" t="s">
        <v>23</v>
      </c>
      <c r="F63" t="s">
        <v>24</v>
      </c>
      <c r="G63">
        <v>34</v>
      </c>
      <c r="H63" t="s">
        <v>85</v>
      </c>
      <c r="I63" t="s">
        <v>26</v>
      </c>
      <c r="J63" t="s">
        <v>64</v>
      </c>
      <c r="K63" t="s">
        <v>28</v>
      </c>
      <c r="L63">
        <v>2</v>
      </c>
      <c r="M63">
        <v>123000</v>
      </c>
      <c r="N63">
        <v>7</v>
      </c>
      <c r="O63">
        <v>228780</v>
      </c>
      <c r="P63">
        <v>34880.22</v>
      </c>
      <c r="Q63" t="s">
        <v>82</v>
      </c>
      <c r="R63" t="s">
        <v>38</v>
      </c>
      <c r="S63" t="s">
        <v>31</v>
      </c>
      <c r="T63" t="s">
        <v>40</v>
      </c>
    </row>
    <row r="64" spans="1:20" x14ac:dyDescent="0.25">
      <c r="A64" t="s">
        <v>20</v>
      </c>
      <c r="B64" t="s">
        <v>208</v>
      </c>
      <c r="C64" s="1">
        <v>46099</v>
      </c>
      <c r="D64" t="s">
        <v>209</v>
      </c>
      <c r="E64" t="s">
        <v>50</v>
      </c>
      <c r="F64" t="s">
        <v>24</v>
      </c>
      <c r="G64">
        <v>29</v>
      </c>
      <c r="H64" t="s">
        <v>210</v>
      </c>
      <c r="I64" t="s">
        <v>26</v>
      </c>
      <c r="J64" t="s">
        <v>118</v>
      </c>
      <c r="K64" t="s">
        <v>68</v>
      </c>
      <c r="L64">
        <v>1</v>
      </c>
      <c r="M64">
        <v>83000</v>
      </c>
      <c r="N64">
        <v>3</v>
      </c>
      <c r="O64">
        <v>80510</v>
      </c>
      <c r="P64">
        <v>12199.71</v>
      </c>
      <c r="Q64" t="s">
        <v>37</v>
      </c>
      <c r="R64" t="s">
        <v>96</v>
      </c>
      <c r="S64" t="s">
        <v>69</v>
      </c>
      <c r="T64" t="s">
        <v>40</v>
      </c>
    </row>
    <row r="65" spans="1:20" x14ac:dyDescent="0.25">
      <c r="A65" t="s">
        <v>20</v>
      </c>
      <c r="B65" t="s">
        <v>211</v>
      </c>
      <c r="C65" s="1">
        <v>45918</v>
      </c>
      <c r="D65" t="s">
        <v>212</v>
      </c>
      <c r="E65" t="s">
        <v>72</v>
      </c>
      <c r="F65" t="s">
        <v>55</v>
      </c>
      <c r="G65">
        <v>49</v>
      </c>
      <c r="H65" t="s">
        <v>44</v>
      </c>
      <c r="I65" t="s">
        <v>26</v>
      </c>
      <c r="J65" t="s">
        <v>213</v>
      </c>
      <c r="K65" t="s">
        <v>58</v>
      </c>
      <c r="L65">
        <v>1</v>
      </c>
      <c r="M65">
        <v>236000</v>
      </c>
      <c r="N65">
        <v>2</v>
      </c>
      <c r="O65">
        <v>231280</v>
      </c>
      <c r="P65">
        <v>40624.42</v>
      </c>
      <c r="Q65" t="s">
        <v>74</v>
      </c>
      <c r="R65" t="s">
        <v>96</v>
      </c>
      <c r="S65" t="s">
        <v>69</v>
      </c>
      <c r="T65" t="s">
        <v>40</v>
      </c>
    </row>
    <row r="66" spans="1:20" x14ac:dyDescent="0.25">
      <c r="A66" t="s">
        <v>20</v>
      </c>
      <c r="B66" t="s">
        <v>214</v>
      </c>
      <c r="C66" s="1">
        <v>45967</v>
      </c>
      <c r="D66" t="s">
        <v>215</v>
      </c>
      <c r="E66" t="s">
        <v>94</v>
      </c>
      <c r="F66" t="s">
        <v>24</v>
      </c>
      <c r="G66">
        <v>32</v>
      </c>
      <c r="H66" t="s">
        <v>51</v>
      </c>
      <c r="I66" t="s">
        <v>26</v>
      </c>
      <c r="J66" t="s">
        <v>64</v>
      </c>
      <c r="K66" t="s">
        <v>28</v>
      </c>
      <c r="L66">
        <v>1</v>
      </c>
      <c r="M66">
        <v>125000</v>
      </c>
      <c r="N66">
        <v>10</v>
      </c>
      <c r="O66">
        <v>112500</v>
      </c>
      <c r="P66">
        <v>11248.53</v>
      </c>
      <c r="Q66" t="s">
        <v>52</v>
      </c>
      <c r="R66" t="s">
        <v>38</v>
      </c>
      <c r="S66" t="s">
        <v>87</v>
      </c>
      <c r="T66" t="s">
        <v>40</v>
      </c>
    </row>
    <row r="67" spans="1:20" x14ac:dyDescent="0.25">
      <c r="A67" t="s">
        <v>20</v>
      </c>
      <c r="B67" t="s">
        <v>216</v>
      </c>
      <c r="C67" s="1">
        <v>46063</v>
      </c>
      <c r="D67" t="s">
        <v>217</v>
      </c>
      <c r="E67" t="s">
        <v>80</v>
      </c>
      <c r="F67" t="s">
        <v>55</v>
      </c>
      <c r="G67">
        <v>37</v>
      </c>
      <c r="H67" t="s">
        <v>51</v>
      </c>
      <c r="I67" t="s">
        <v>26</v>
      </c>
      <c r="J67" t="s">
        <v>213</v>
      </c>
      <c r="K67" t="s">
        <v>58</v>
      </c>
      <c r="L67">
        <v>3</v>
      </c>
      <c r="M67">
        <v>235000</v>
      </c>
      <c r="N67">
        <v>0</v>
      </c>
      <c r="O67">
        <v>705000</v>
      </c>
      <c r="P67">
        <v>72365.899999999994</v>
      </c>
      <c r="Q67" t="s">
        <v>74</v>
      </c>
      <c r="R67" t="s">
        <v>96</v>
      </c>
      <c r="S67" t="s">
        <v>87</v>
      </c>
      <c r="T67" t="s">
        <v>40</v>
      </c>
    </row>
    <row r="68" spans="1:20" x14ac:dyDescent="0.25">
      <c r="A68" t="s">
        <v>20</v>
      </c>
      <c r="B68" t="s">
        <v>218</v>
      </c>
      <c r="C68" s="1">
        <v>45798</v>
      </c>
      <c r="D68" t="s">
        <v>219</v>
      </c>
      <c r="E68" t="s">
        <v>80</v>
      </c>
      <c r="F68" t="s">
        <v>24</v>
      </c>
      <c r="G68">
        <v>26</v>
      </c>
      <c r="H68" t="s">
        <v>44</v>
      </c>
      <c r="I68" t="s">
        <v>26</v>
      </c>
      <c r="J68" t="s">
        <v>111</v>
      </c>
      <c r="K68" t="s">
        <v>58</v>
      </c>
      <c r="L68">
        <v>1</v>
      </c>
      <c r="M68">
        <v>127000</v>
      </c>
      <c r="N68">
        <v>10</v>
      </c>
      <c r="O68">
        <v>114300</v>
      </c>
      <c r="P68">
        <v>3543.75</v>
      </c>
      <c r="Q68" t="s">
        <v>105</v>
      </c>
      <c r="R68" t="s">
        <v>60</v>
      </c>
      <c r="S68" t="s">
        <v>61</v>
      </c>
      <c r="T68" t="s">
        <v>32</v>
      </c>
    </row>
    <row r="69" spans="1:20" x14ac:dyDescent="0.25">
      <c r="A69" t="s">
        <v>20</v>
      </c>
      <c r="B69" t="s">
        <v>220</v>
      </c>
      <c r="C69" s="1">
        <v>46210</v>
      </c>
      <c r="D69" t="s">
        <v>221</v>
      </c>
      <c r="E69" t="s">
        <v>72</v>
      </c>
      <c r="F69" t="s">
        <v>55</v>
      </c>
      <c r="G69">
        <v>43</v>
      </c>
      <c r="H69" t="s">
        <v>51</v>
      </c>
      <c r="I69" t="s">
        <v>26</v>
      </c>
      <c r="J69" t="s">
        <v>27</v>
      </c>
      <c r="K69" t="s">
        <v>101</v>
      </c>
      <c r="L69">
        <v>1</v>
      </c>
      <c r="M69">
        <v>95000</v>
      </c>
      <c r="N69">
        <v>2</v>
      </c>
      <c r="O69">
        <v>93100</v>
      </c>
      <c r="P69">
        <v>16710.939999999999</v>
      </c>
      <c r="Q69" t="s">
        <v>46</v>
      </c>
      <c r="R69" t="s">
        <v>60</v>
      </c>
      <c r="S69" t="s">
        <v>61</v>
      </c>
      <c r="T69" t="s">
        <v>40</v>
      </c>
    </row>
    <row r="70" spans="1:20" x14ac:dyDescent="0.25">
      <c r="A70" t="s">
        <v>20</v>
      </c>
      <c r="B70" t="s">
        <v>222</v>
      </c>
      <c r="C70" s="1">
        <v>46064</v>
      </c>
      <c r="D70" t="s">
        <v>223</v>
      </c>
      <c r="E70" t="s">
        <v>43</v>
      </c>
      <c r="F70" t="s">
        <v>55</v>
      </c>
      <c r="G70">
        <v>55</v>
      </c>
      <c r="H70" t="s">
        <v>85</v>
      </c>
      <c r="I70" t="s">
        <v>26</v>
      </c>
      <c r="J70" t="s">
        <v>27</v>
      </c>
      <c r="K70" t="s">
        <v>58</v>
      </c>
      <c r="L70">
        <v>2</v>
      </c>
      <c r="M70">
        <v>94000</v>
      </c>
      <c r="N70">
        <v>2</v>
      </c>
      <c r="O70">
        <v>184240</v>
      </c>
      <c r="P70">
        <v>18195.23</v>
      </c>
      <c r="Q70" t="s">
        <v>105</v>
      </c>
      <c r="R70" t="s">
        <v>60</v>
      </c>
      <c r="S70" t="s">
        <v>87</v>
      </c>
      <c r="T70" t="s">
        <v>32</v>
      </c>
    </row>
    <row r="71" spans="1:20" x14ac:dyDescent="0.25">
      <c r="A71" t="s">
        <v>20</v>
      </c>
      <c r="B71" t="s">
        <v>224</v>
      </c>
      <c r="C71" s="1">
        <v>46038</v>
      </c>
      <c r="D71" t="s">
        <v>225</v>
      </c>
      <c r="E71" t="s">
        <v>50</v>
      </c>
      <c r="F71" t="s">
        <v>24</v>
      </c>
      <c r="G71">
        <v>26</v>
      </c>
      <c r="H71" t="s">
        <v>56</v>
      </c>
      <c r="I71" t="s">
        <v>26</v>
      </c>
      <c r="J71" t="s">
        <v>57</v>
      </c>
      <c r="K71" t="s">
        <v>28</v>
      </c>
      <c r="L71">
        <v>1</v>
      </c>
      <c r="M71">
        <v>177000</v>
      </c>
      <c r="N71">
        <v>3</v>
      </c>
      <c r="O71">
        <v>171690</v>
      </c>
      <c r="P71">
        <v>21213.94</v>
      </c>
      <c r="Q71" t="s">
        <v>226</v>
      </c>
      <c r="R71" t="s">
        <v>96</v>
      </c>
      <c r="S71" t="s">
        <v>61</v>
      </c>
      <c r="T71" t="s">
        <v>32</v>
      </c>
    </row>
    <row r="72" spans="1:20" x14ac:dyDescent="0.25">
      <c r="A72" t="s">
        <v>20</v>
      </c>
      <c r="B72" t="s">
        <v>227</v>
      </c>
      <c r="C72" s="1">
        <v>45696</v>
      </c>
      <c r="D72" t="s">
        <v>228</v>
      </c>
      <c r="E72" t="s">
        <v>35</v>
      </c>
      <c r="F72" t="s">
        <v>55</v>
      </c>
      <c r="G72">
        <v>39</v>
      </c>
      <c r="H72" t="s">
        <v>51</v>
      </c>
      <c r="I72" t="s">
        <v>26</v>
      </c>
      <c r="J72" t="s">
        <v>57</v>
      </c>
      <c r="K72" t="s">
        <v>28</v>
      </c>
      <c r="L72">
        <v>1</v>
      </c>
      <c r="M72">
        <v>173000</v>
      </c>
      <c r="N72">
        <v>2</v>
      </c>
      <c r="O72">
        <v>169540</v>
      </c>
      <c r="P72">
        <v>33658.6</v>
      </c>
      <c r="Q72" t="s">
        <v>52</v>
      </c>
      <c r="R72" t="s">
        <v>96</v>
      </c>
      <c r="S72" t="s">
        <v>47</v>
      </c>
      <c r="T72" t="s">
        <v>40</v>
      </c>
    </row>
    <row r="73" spans="1:20" x14ac:dyDescent="0.25">
      <c r="A73" t="s">
        <v>20</v>
      </c>
      <c r="B73" t="s">
        <v>229</v>
      </c>
      <c r="C73" s="1">
        <v>45759</v>
      </c>
      <c r="D73" t="s">
        <v>230</v>
      </c>
      <c r="E73" t="s">
        <v>94</v>
      </c>
      <c r="F73" t="s">
        <v>24</v>
      </c>
      <c r="G73">
        <v>51</v>
      </c>
      <c r="H73" t="s">
        <v>95</v>
      </c>
      <c r="I73" t="s">
        <v>26</v>
      </c>
      <c r="J73" t="s">
        <v>64</v>
      </c>
      <c r="K73" t="s">
        <v>28</v>
      </c>
      <c r="L73">
        <v>1</v>
      </c>
      <c r="M73">
        <v>127000</v>
      </c>
      <c r="N73">
        <v>2</v>
      </c>
      <c r="O73">
        <v>124460</v>
      </c>
      <c r="P73">
        <v>11906.29</v>
      </c>
      <c r="Q73" t="s">
        <v>86</v>
      </c>
      <c r="R73" t="s">
        <v>96</v>
      </c>
      <c r="S73" t="s">
        <v>47</v>
      </c>
      <c r="T73" t="s">
        <v>40</v>
      </c>
    </row>
    <row r="74" spans="1:20" x14ac:dyDescent="0.25">
      <c r="A74" t="s">
        <v>20</v>
      </c>
      <c r="B74" t="s">
        <v>231</v>
      </c>
      <c r="C74" s="1">
        <v>46025</v>
      </c>
      <c r="D74" t="s">
        <v>232</v>
      </c>
      <c r="E74" t="s">
        <v>94</v>
      </c>
      <c r="F74" t="s">
        <v>24</v>
      </c>
      <c r="G74">
        <v>23</v>
      </c>
      <c r="H74" t="s">
        <v>56</v>
      </c>
      <c r="I74" t="s">
        <v>26</v>
      </c>
      <c r="J74" t="s">
        <v>111</v>
      </c>
      <c r="K74" t="s">
        <v>68</v>
      </c>
      <c r="L74">
        <v>1</v>
      </c>
      <c r="M74">
        <v>127000</v>
      </c>
      <c r="N74">
        <v>3</v>
      </c>
      <c r="O74">
        <v>123190</v>
      </c>
      <c r="P74">
        <v>15832.34</v>
      </c>
      <c r="Q74" t="s">
        <v>82</v>
      </c>
      <c r="R74" t="s">
        <v>38</v>
      </c>
      <c r="S74" t="s">
        <v>69</v>
      </c>
      <c r="T74" t="s">
        <v>32</v>
      </c>
    </row>
    <row r="75" spans="1:20" x14ac:dyDescent="0.25">
      <c r="A75" t="s">
        <v>20</v>
      </c>
      <c r="B75" t="s">
        <v>233</v>
      </c>
      <c r="C75" s="1">
        <v>46236</v>
      </c>
      <c r="D75" t="s">
        <v>234</v>
      </c>
      <c r="E75" t="s">
        <v>23</v>
      </c>
      <c r="F75" t="s">
        <v>55</v>
      </c>
      <c r="G75">
        <v>33</v>
      </c>
      <c r="H75" t="s">
        <v>25</v>
      </c>
      <c r="I75" t="s">
        <v>26</v>
      </c>
      <c r="J75" t="s">
        <v>81</v>
      </c>
      <c r="K75" t="s">
        <v>68</v>
      </c>
      <c r="L75">
        <v>1</v>
      </c>
      <c r="M75">
        <v>235000</v>
      </c>
      <c r="N75">
        <v>2</v>
      </c>
      <c r="O75">
        <v>230300</v>
      </c>
      <c r="P75">
        <v>19115.25</v>
      </c>
      <c r="Q75" t="s">
        <v>52</v>
      </c>
      <c r="R75" t="s">
        <v>60</v>
      </c>
      <c r="S75" t="s">
        <v>31</v>
      </c>
      <c r="T75" t="s">
        <v>32</v>
      </c>
    </row>
    <row r="76" spans="1:20" x14ac:dyDescent="0.25">
      <c r="A76" t="s">
        <v>20</v>
      </c>
      <c r="B76" t="s">
        <v>235</v>
      </c>
      <c r="C76" s="1">
        <v>45770</v>
      </c>
      <c r="D76" t="s">
        <v>236</v>
      </c>
      <c r="E76" t="s">
        <v>129</v>
      </c>
      <c r="F76" t="s">
        <v>55</v>
      </c>
      <c r="G76">
        <v>21</v>
      </c>
      <c r="H76" t="s">
        <v>73</v>
      </c>
      <c r="I76" t="s">
        <v>26</v>
      </c>
      <c r="J76" t="s">
        <v>237</v>
      </c>
      <c r="K76" t="s">
        <v>101</v>
      </c>
      <c r="L76">
        <v>3</v>
      </c>
      <c r="M76">
        <v>171000</v>
      </c>
      <c r="N76">
        <v>3</v>
      </c>
      <c r="O76">
        <v>497610</v>
      </c>
      <c r="P76">
        <v>48313.49</v>
      </c>
      <c r="Q76" t="s">
        <v>52</v>
      </c>
      <c r="R76" t="s">
        <v>60</v>
      </c>
      <c r="S76" t="s">
        <v>69</v>
      </c>
      <c r="T76" t="s">
        <v>32</v>
      </c>
    </row>
    <row r="77" spans="1:20" x14ac:dyDescent="0.25">
      <c r="A77" t="s">
        <v>20</v>
      </c>
      <c r="B77" t="s">
        <v>238</v>
      </c>
      <c r="C77" s="1">
        <v>45723</v>
      </c>
      <c r="D77" t="s">
        <v>239</v>
      </c>
      <c r="E77" t="s">
        <v>35</v>
      </c>
      <c r="F77" t="s">
        <v>24</v>
      </c>
      <c r="G77">
        <v>50</v>
      </c>
      <c r="H77" t="s">
        <v>25</v>
      </c>
      <c r="I77" t="s">
        <v>26</v>
      </c>
      <c r="J77" t="s">
        <v>104</v>
      </c>
      <c r="K77" t="s">
        <v>28</v>
      </c>
      <c r="L77">
        <v>1</v>
      </c>
      <c r="M77">
        <v>170000</v>
      </c>
      <c r="N77">
        <v>7</v>
      </c>
      <c r="O77">
        <v>158100</v>
      </c>
      <c r="P77">
        <v>23181.55</v>
      </c>
      <c r="Q77" t="s">
        <v>46</v>
      </c>
      <c r="R77" t="s">
        <v>96</v>
      </c>
      <c r="S77" t="s">
        <v>87</v>
      </c>
      <c r="T77" t="s">
        <v>32</v>
      </c>
    </row>
    <row r="78" spans="1:20" x14ac:dyDescent="0.25">
      <c r="A78" t="s">
        <v>20</v>
      </c>
      <c r="B78" t="s">
        <v>240</v>
      </c>
      <c r="C78" s="1">
        <v>46069</v>
      </c>
      <c r="D78" t="s">
        <v>241</v>
      </c>
      <c r="E78" t="s">
        <v>23</v>
      </c>
      <c r="F78" t="s">
        <v>24</v>
      </c>
      <c r="G78">
        <v>47</v>
      </c>
      <c r="H78" t="s">
        <v>51</v>
      </c>
      <c r="I78" t="s">
        <v>26</v>
      </c>
      <c r="J78" t="s">
        <v>36</v>
      </c>
      <c r="K78" t="s">
        <v>58</v>
      </c>
      <c r="L78">
        <v>1</v>
      </c>
      <c r="M78">
        <v>113000</v>
      </c>
      <c r="N78">
        <v>0</v>
      </c>
      <c r="O78">
        <v>113000</v>
      </c>
      <c r="P78">
        <v>11319.16</v>
      </c>
      <c r="Q78" t="s">
        <v>82</v>
      </c>
      <c r="R78" t="s">
        <v>30</v>
      </c>
      <c r="S78" t="s">
        <v>39</v>
      </c>
      <c r="T78" t="s">
        <v>32</v>
      </c>
    </row>
    <row r="79" spans="1:20" x14ac:dyDescent="0.25">
      <c r="A79" t="s">
        <v>20</v>
      </c>
      <c r="B79" t="s">
        <v>242</v>
      </c>
      <c r="C79" s="1">
        <v>45990</v>
      </c>
      <c r="D79" t="s">
        <v>243</v>
      </c>
      <c r="E79" t="s">
        <v>72</v>
      </c>
      <c r="F79" t="s">
        <v>24</v>
      </c>
      <c r="G79">
        <v>44</v>
      </c>
      <c r="H79" t="s">
        <v>73</v>
      </c>
      <c r="I79" t="s">
        <v>26</v>
      </c>
      <c r="J79" t="s">
        <v>27</v>
      </c>
      <c r="K79" t="s">
        <v>58</v>
      </c>
      <c r="L79">
        <v>1</v>
      </c>
      <c r="M79">
        <v>97000</v>
      </c>
      <c r="N79">
        <v>7</v>
      </c>
      <c r="O79">
        <v>90210</v>
      </c>
      <c r="P79">
        <v>8167.13</v>
      </c>
      <c r="Q79" t="s">
        <v>82</v>
      </c>
      <c r="R79" t="s">
        <v>30</v>
      </c>
      <c r="S79" t="s">
        <v>61</v>
      </c>
      <c r="T79" t="s">
        <v>32</v>
      </c>
    </row>
    <row r="80" spans="1:20" x14ac:dyDescent="0.25">
      <c r="A80" t="s">
        <v>20</v>
      </c>
      <c r="B80" t="s">
        <v>244</v>
      </c>
      <c r="C80" s="1">
        <v>46066</v>
      </c>
      <c r="D80" t="s">
        <v>245</v>
      </c>
      <c r="E80" t="s">
        <v>23</v>
      </c>
      <c r="F80" t="s">
        <v>24</v>
      </c>
      <c r="G80">
        <v>46</v>
      </c>
      <c r="H80" t="s">
        <v>85</v>
      </c>
      <c r="I80" t="s">
        <v>26</v>
      </c>
      <c r="J80" t="s">
        <v>77</v>
      </c>
      <c r="K80" t="s">
        <v>58</v>
      </c>
      <c r="L80">
        <v>2</v>
      </c>
      <c r="M80">
        <v>195000</v>
      </c>
      <c r="N80">
        <v>3</v>
      </c>
      <c r="O80">
        <v>378300</v>
      </c>
      <c r="P80">
        <v>35376.78</v>
      </c>
      <c r="Q80" t="s">
        <v>86</v>
      </c>
      <c r="R80" t="s">
        <v>60</v>
      </c>
      <c r="S80" t="s">
        <v>39</v>
      </c>
      <c r="T80" t="s">
        <v>32</v>
      </c>
    </row>
    <row r="81" spans="1:20" x14ac:dyDescent="0.25">
      <c r="A81" t="s">
        <v>20</v>
      </c>
      <c r="B81" t="s">
        <v>246</v>
      </c>
      <c r="C81" s="1">
        <v>46039</v>
      </c>
      <c r="D81" t="s">
        <v>247</v>
      </c>
      <c r="E81" t="s">
        <v>80</v>
      </c>
      <c r="F81" t="s">
        <v>24</v>
      </c>
      <c r="G81">
        <v>28</v>
      </c>
      <c r="H81" t="s">
        <v>108</v>
      </c>
      <c r="I81" t="s">
        <v>26</v>
      </c>
      <c r="J81" t="s">
        <v>57</v>
      </c>
      <c r="K81" t="s">
        <v>28</v>
      </c>
      <c r="L81">
        <v>1</v>
      </c>
      <c r="M81">
        <v>173000</v>
      </c>
      <c r="N81">
        <v>0</v>
      </c>
      <c r="O81">
        <v>173000</v>
      </c>
      <c r="P81">
        <v>29094.240000000002</v>
      </c>
      <c r="Q81" t="s">
        <v>59</v>
      </c>
      <c r="R81" t="s">
        <v>60</v>
      </c>
      <c r="S81" t="s">
        <v>61</v>
      </c>
      <c r="T81" t="s">
        <v>40</v>
      </c>
    </row>
    <row r="82" spans="1:20" x14ac:dyDescent="0.25">
      <c r="A82" t="s">
        <v>20</v>
      </c>
      <c r="B82" t="s">
        <v>248</v>
      </c>
      <c r="C82" s="1">
        <v>45875</v>
      </c>
      <c r="D82" t="s">
        <v>249</v>
      </c>
      <c r="E82" t="s">
        <v>35</v>
      </c>
      <c r="F82" t="s">
        <v>55</v>
      </c>
      <c r="G82">
        <v>29</v>
      </c>
      <c r="H82" t="s">
        <v>51</v>
      </c>
      <c r="I82" t="s">
        <v>26</v>
      </c>
      <c r="J82" t="s">
        <v>118</v>
      </c>
      <c r="K82" t="s">
        <v>28</v>
      </c>
      <c r="L82">
        <v>1</v>
      </c>
      <c r="M82">
        <v>85000</v>
      </c>
      <c r="N82">
        <v>0</v>
      </c>
      <c r="O82">
        <v>85000</v>
      </c>
      <c r="P82">
        <v>12805.23</v>
      </c>
      <c r="Q82" t="s">
        <v>86</v>
      </c>
      <c r="R82" t="s">
        <v>60</v>
      </c>
      <c r="S82" t="s">
        <v>69</v>
      </c>
      <c r="T82" t="s">
        <v>40</v>
      </c>
    </row>
    <row r="83" spans="1:20" x14ac:dyDescent="0.25">
      <c r="A83" t="s">
        <v>20</v>
      </c>
      <c r="B83" t="s">
        <v>250</v>
      </c>
      <c r="C83" s="1">
        <v>46228</v>
      </c>
      <c r="D83" t="s">
        <v>251</v>
      </c>
      <c r="E83" t="s">
        <v>72</v>
      </c>
      <c r="F83" t="s">
        <v>55</v>
      </c>
      <c r="G83">
        <v>21</v>
      </c>
      <c r="H83" t="s">
        <v>44</v>
      </c>
      <c r="I83" t="s">
        <v>26</v>
      </c>
      <c r="J83" t="s">
        <v>81</v>
      </c>
      <c r="K83" t="s">
        <v>68</v>
      </c>
      <c r="L83">
        <v>1</v>
      </c>
      <c r="M83">
        <v>236000</v>
      </c>
      <c r="N83">
        <v>7</v>
      </c>
      <c r="O83">
        <v>219480</v>
      </c>
      <c r="P83">
        <v>18023.599999999999</v>
      </c>
      <c r="Q83" t="s">
        <v>74</v>
      </c>
      <c r="R83" t="s">
        <v>60</v>
      </c>
      <c r="S83" t="s">
        <v>39</v>
      </c>
      <c r="T83" t="s">
        <v>40</v>
      </c>
    </row>
    <row r="84" spans="1:20" x14ac:dyDescent="0.25">
      <c r="A84" t="s">
        <v>20</v>
      </c>
      <c r="B84" t="s">
        <v>252</v>
      </c>
      <c r="C84" s="1">
        <v>45803</v>
      </c>
      <c r="D84" t="s">
        <v>253</v>
      </c>
      <c r="E84" t="s">
        <v>23</v>
      </c>
      <c r="F84" t="s">
        <v>55</v>
      </c>
      <c r="G84">
        <v>21</v>
      </c>
      <c r="H84" t="s">
        <v>73</v>
      </c>
      <c r="I84" t="s">
        <v>26</v>
      </c>
      <c r="J84" t="s">
        <v>118</v>
      </c>
      <c r="K84" t="s">
        <v>58</v>
      </c>
      <c r="L84">
        <v>2</v>
      </c>
      <c r="M84">
        <v>86000</v>
      </c>
      <c r="N84">
        <v>10</v>
      </c>
      <c r="O84">
        <v>154800</v>
      </c>
      <c r="P84">
        <v>12367.81</v>
      </c>
      <c r="Q84" t="s">
        <v>59</v>
      </c>
      <c r="R84" t="s">
        <v>38</v>
      </c>
      <c r="S84" t="s">
        <v>39</v>
      </c>
      <c r="T84" t="s">
        <v>32</v>
      </c>
    </row>
    <row r="85" spans="1:20" x14ac:dyDescent="0.25">
      <c r="A85" t="s">
        <v>20</v>
      </c>
      <c r="B85" t="s">
        <v>254</v>
      </c>
      <c r="C85" s="1">
        <v>45711</v>
      </c>
      <c r="D85" t="s">
        <v>255</v>
      </c>
      <c r="E85" t="s">
        <v>129</v>
      </c>
      <c r="F85" t="s">
        <v>55</v>
      </c>
      <c r="G85">
        <v>29</v>
      </c>
      <c r="H85" t="s">
        <v>51</v>
      </c>
      <c r="I85" t="s">
        <v>26</v>
      </c>
      <c r="J85" t="s">
        <v>64</v>
      </c>
      <c r="K85" t="s">
        <v>28</v>
      </c>
      <c r="L85">
        <v>1</v>
      </c>
      <c r="M85">
        <v>126000</v>
      </c>
      <c r="N85">
        <v>7</v>
      </c>
      <c r="O85">
        <v>117180</v>
      </c>
      <c r="P85">
        <v>17615.45</v>
      </c>
      <c r="Q85" t="s">
        <v>74</v>
      </c>
      <c r="R85" t="s">
        <v>38</v>
      </c>
      <c r="S85" t="s">
        <v>61</v>
      </c>
      <c r="T85" t="s">
        <v>40</v>
      </c>
    </row>
    <row r="86" spans="1:20" x14ac:dyDescent="0.25">
      <c r="A86" t="s">
        <v>20</v>
      </c>
      <c r="B86" t="s">
        <v>256</v>
      </c>
      <c r="C86" s="1">
        <v>46098</v>
      </c>
      <c r="D86" t="s">
        <v>257</v>
      </c>
      <c r="E86" t="s">
        <v>72</v>
      </c>
      <c r="F86" t="s">
        <v>24</v>
      </c>
      <c r="G86">
        <v>27</v>
      </c>
      <c r="H86" t="s">
        <v>85</v>
      </c>
      <c r="I86" t="s">
        <v>26</v>
      </c>
      <c r="J86" t="s">
        <v>57</v>
      </c>
      <c r="K86" t="s">
        <v>101</v>
      </c>
      <c r="L86">
        <v>1</v>
      </c>
      <c r="M86">
        <v>174000</v>
      </c>
      <c r="N86">
        <v>7</v>
      </c>
      <c r="O86">
        <v>161820</v>
      </c>
      <c r="P86">
        <v>23723.49</v>
      </c>
      <c r="Q86" t="s">
        <v>105</v>
      </c>
      <c r="R86" t="s">
        <v>96</v>
      </c>
      <c r="S86" t="s">
        <v>47</v>
      </c>
      <c r="T86" t="s">
        <v>32</v>
      </c>
    </row>
    <row r="87" spans="1:20" x14ac:dyDescent="0.25">
      <c r="A87" t="s">
        <v>20</v>
      </c>
      <c r="B87" t="s">
        <v>258</v>
      </c>
      <c r="C87" s="1">
        <v>45954</v>
      </c>
      <c r="D87" t="s">
        <v>259</v>
      </c>
      <c r="E87" t="s">
        <v>23</v>
      </c>
      <c r="F87" t="s">
        <v>55</v>
      </c>
      <c r="G87">
        <v>40</v>
      </c>
      <c r="H87" t="s">
        <v>44</v>
      </c>
      <c r="I87" t="s">
        <v>26</v>
      </c>
      <c r="J87" t="s">
        <v>118</v>
      </c>
      <c r="K87" t="s">
        <v>58</v>
      </c>
      <c r="L87">
        <v>1</v>
      </c>
      <c r="M87">
        <v>84000</v>
      </c>
      <c r="N87">
        <v>2</v>
      </c>
      <c r="O87">
        <v>82320</v>
      </c>
      <c r="P87">
        <v>9097.26</v>
      </c>
      <c r="Q87" t="s">
        <v>59</v>
      </c>
      <c r="R87" t="s">
        <v>96</v>
      </c>
      <c r="S87" t="s">
        <v>31</v>
      </c>
      <c r="T87" t="s">
        <v>40</v>
      </c>
    </row>
    <row r="88" spans="1:20" x14ac:dyDescent="0.25">
      <c r="A88" t="s">
        <v>20</v>
      </c>
      <c r="B88" t="s">
        <v>260</v>
      </c>
      <c r="C88" s="1">
        <v>45701</v>
      </c>
      <c r="D88" t="s">
        <v>261</v>
      </c>
      <c r="E88" t="s">
        <v>80</v>
      </c>
      <c r="F88" t="s">
        <v>24</v>
      </c>
      <c r="G88">
        <v>47</v>
      </c>
      <c r="H88" t="s">
        <v>67</v>
      </c>
      <c r="I88" t="s">
        <v>26</v>
      </c>
      <c r="J88" t="s">
        <v>36</v>
      </c>
      <c r="K88" t="s">
        <v>28</v>
      </c>
      <c r="L88">
        <v>1</v>
      </c>
      <c r="M88">
        <v>117000</v>
      </c>
      <c r="N88">
        <v>3</v>
      </c>
      <c r="O88">
        <v>113490</v>
      </c>
      <c r="P88">
        <v>21218.06</v>
      </c>
      <c r="Q88" t="s">
        <v>86</v>
      </c>
      <c r="R88" t="s">
        <v>38</v>
      </c>
      <c r="S88" t="s">
        <v>87</v>
      </c>
      <c r="T88" t="s">
        <v>40</v>
      </c>
    </row>
    <row r="89" spans="1:20" x14ac:dyDescent="0.25">
      <c r="A89" t="s">
        <v>20</v>
      </c>
      <c r="B89" t="s">
        <v>262</v>
      </c>
      <c r="C89" s="1">
        <v>46129</v>
      </c>
      <c r="D89" t="s">
        <v>263</v>
      </c>
      <c r="E89" t="s">
        <v>23</v>
      </c>
      <c r="F89" t="s">
        <v>24</v>
      </c>
      <c r="G89">
        <v>43</v>
      </c>
      <c r="H89" t="s">
        <v>51</v>
      </c>
      <c r="I89" t="s">
        <v>26</v>
      </c>
      <c r="J89" t="s">
        <v>77</v>
      </c>
      <c r="K89" t="s">
        <v>28</v>
      </c>
      <c r="L89">
        <v>1</v>
      </c>
      <c r="M89">
        <v>193000</v>
      </c>
      <c r="N89">
        <v>3</v>
      </c>
      <c r="O89">
        <v>187210</v>
      </c>
      <c r="P89">
        <v>32689.42</v>
      </c>
      <c r="Q89" t="s">
        <v>52</v>
      </c>
      <c r="R89" t="s">
        <v>38</v>
      </c>
      <c r="S89" t="s">
        <v>87</v>
      </c>
      <c r="T89" t="s">
        <v>40</v>
      </c>
    </row>
    <row r="90" spans="1:20" x14ac:dyDescent="0.25">
      <c r="A90" t="s">
        <v>20</v>
      </c>
      <c r="B90" t="s">
        <v>264</v>
      </c>
      <c r="C90" s="1">
        <v>45999</v>
      </c>
      <c r="D90" t="s">
        <v>265</v>
      </c>
      <c r="E90" t="s">
        <v>23</v>
      </c>
      <c r="F90" t="s">
        <v>55</v>
      </c>
      <c r="G90">
        <v>30</v>
      </c>
      <c r="H90" t="s">
        <v>108</v>
      </c>
      <c r="I90" t="s">
        <v>26</v>
      </c>
      <c r="J90" t="s">
        <v>36</v>
      </c>
      <c r="K90" t="s">
        <v>68</v>
      </c>
      <c r="L90">
        <v>1</v>
      </c>
      <c r="M90">
        <v>115000</v>
      </c>
      <c r="N90">
        <v>10</v>
      </c>
      <c r="O90">
        <v>103500</v>
      </c>
      <c r="P90">
        <v>9114.7199999999993</v>
      </c>
      <c r="Q90" t="s">
        <v>86</v>
      </c>
      <c r="R90" t="s">
        <v>126</v>
      </c>
      <c r="S90" t="s">
        <v>61</v>
      </c>
      <c r="T90" t="s">
        <v>32</v>
      </c>
    </row>
    <row r="91" spans="1:20" x14ac:dyDescent="0.25">
      <c r="A91" t="s">
        <v>20</v>
      </c>
      <c r="B91" t="s">
        <v>266</v>
      </c>
      <c r="C91" s="1">
        <v>45735</v>
      </c>
      <c r="D91" t="s">
        <v>267</v>
      </c>
      <c r="E91" t="s">
        <v>35</v>
      </c>
      <c r="F91" t="s">
        <v>24</v>
      </c>
      <c r="G91">
        <v>31</v>
      </c>
      <c r="H91" t="s">
        <v>108</v>
      </c>
      <c r="I91" t="s">
        <v>26</v>
      </c>
      <c r="J91" t="s">
        <v>111</v>
      </c>
      <c r="K91" t="s">
        <v>58</v>
      </c>
      <c r="L91">
        <v>1</v>
      </c>
      <c r="M91">
        <v>124000</v>
      </c>
      <c r="N91">
        <v>2</v>
      </c>
      <c r="O91">
        <v>121520</v>
      </c>
      <c r="P91">
        <v>15836.3</v>
      </c>
      <c r="Q91" t="s">
        <v>86</v>
      </c>
      <c r="R91" t="s">
        <v>60</v>
      </c>
      <c r="S91" t="s">
        <v>31</v>
      </c>
      <c r="T91" t="s">
        <v>40</v>
      </c>
    </row>
    <row r="92" spans="1:20" x14ac:dyDescent="0.25">
      <c r="A92" t="s">
        <v>20</v>
      </c>
      <c r="B92" t="s">
        <v>268</v>
      </c>
      <c r="C92" s="1">
        <v>46018</v>
      </c>
      <c r="D92" t="s">
        <v>269</v>
      </c>
      <c r="E92" t="s">
        <v>270</v>
      </c>
      <c r="F92" t="s">
        <v>24</v>
      </c>
      <c r="G92">
        <v>52</v>
      </c>
      <c r="H92" t="s">
        <v>85</v>
      </c>
      <c r="I92" t="s">
        <v>26</v>
      </c>
      <c r="J92" t="s">
        <v>27</v>
      </c>
      <c r="K92" t="s">
        <v>58</v>
      </c>
      <c r="L92">
        <v>1</v>
      </c>
      <c r="M92">
        <v>95000</v>
      </c>
      <c r="N92">
        <v>3</v>
      </c>
      <c r="O92">
        <v>92150</v>
      </c>
      <c r="P92">
        <v>11307.81</v>
      </c>
      <c r="Q92" t="s">
        <v>46</v>
      </c>
      <c r="R92" t="s">
        <v>30</v>
      </c>
      <c r="S92" t="s">
        <v>69</v>
      </c>
      <c r="T92" t="s">
        <v>40</v>
      </c>
    </row>
    <row r="93" spans="1:20" x14ac:dyDescent="0.25">
      <c r="A93" t="s">
        <v>20</v>
      </c>
      <c r="B93" t="s">
        <v>271</v>
      </c>
      <c r="C93" s="1">
        <v>46051</v>
      </c>
      <c r="D93" t="s">
        <v>272</v>
      </c>
      <c r="E93" t="s">
        <v>80</v>
      </c>
      <c r="F93" t="s">
        <v>24</v>
      </c>
      <c r="G93">
        <v>49</v>
      </c>
      <c r="H93" t="s">
        <v>108</v>
      </c>
      <c r="I93" t="s">
        <v>26</v>
      </c>
      <c r="J93" t="s">
        <v>104</v>
      </c>
      <c r="K93" t="s">
        <v>68</v>
      </c>
      <c r="L93">
        <v>1</v>
      </c>
      <c r="M93">
        <v>168000</v>
      </c>
      <c r="N93">
        <v>7</v>
      </c>
      <c r="O93">
        <v>156240</v>
      </c>
      <c r="P93">
        <v>13223.35</v>
      </c>
      <c r="Q93" t="s">
        <v>86</v>
      </c>
      <c r="R93" t="s">
        <v>38</v>
      </c>
      <c r="S93" t="s">
        <v>87</v>
      </c>
      <c r="T93" t="s">
        <v>32</v>
      </c>
    </row>
    <row r="94" spans="1:20" x14ac:dyDescent="0.25">
      <c r="A94" t="s">
        <v>20</v>
      </c>
      <c r="B94" t="s">
        <v>273</v>
      </c>
      <c r="C94" s="1">
        <v>45834</v>
      </c>
      <c r="D94" t="s">
        <v>274</v>
      </c>
      <c r="E94" t="s">
        <v>50</v>
      </c>
      <c r="F94" t="s">
        <v>24</v>
      </c>
      <c r="G94">
        <v>22</v>
      </c>
      <c r="H94" t="s">
        <v>85</v>
      </c>
      <c r="I94" t="s">
        <v>26</v>
      </c>
      <c r="J94" t="s">
        <v>118</v>
      </c>
      <c r="K94" t="s">
        <v>58</v>
      </c>
      <c r="L94">
        <v>1</v>
      </c>
      <c r="M94">
        <v>85000</v>
      </c>
      <c r="N94">
        <v>10</v>
      </c>
      <c r="O94">
        <v>76500</v>
      </c>
      <c r="P94">
        <v>9339.84</v>
      </c>
      <c r="Q94" t="s">
        <v>37</v>
      </c>
      <c r="R94" t="s">
        <v>60</v>
      </c>
      <c r="S94" t="s">
        <v>39</v>
      </c>
      <c r="T94" t="s">
        <v>40</v>
      </c>
    </row>
    <row r="95" spans="1:20" x14ac:dyDescent="0.25">
      <c r="A95" t="s">
        <v>20</v>
      </c>
      <c r="B95" t="s">
        <v>275</v>
      </c>
      <c r="C95" s="1">
        <v>46000</v>
      </c>
      <c r="D95" t="s">
        <v>276</v>
      </c>
      <c r="E95" t="s">
        <v>43</v>
      </c>
      <c r="F95" t="s">
        <v>55</v>
      </c>
      <c r="G95">
        <v>24</v>
      </c>
      <c r="H95" t="s">
        <v>95</v>
      </c>
      <c r="I95" t="s">
        <v>26</v>
      </c>
      <c r="J95" t="s">
        <v>77</v>
      </c>
      <c r="K95" t="s">
        <v>58</v>
      </c>
      <c r="L95">
        <v>1</v>
      </c>
      <c r="M95">
        <v>197000</v>
      </c>
      <c r="N95">
        <v>7</v>
      </c>
      <c r="O95">
        <v>183210</v>
      </c>
      <c r="P95">
        <v>28312.080000000002</v>
      </c>
      <c r="Q95" t="s">
        <v>74</v>
      </c>
      <c r="R95" t="s">
        <v>60</v>
      </c>
      <c r="S95" t="s">
        <v>61</v>
      </c>
      <c r="T95" t="s">
        <v>32</v>
      </c>
    </row>
    <row r="96" spans="1:20" x14ac:dyDescent="0.25">
      <c r="A96" t="s">
        <v>20</v>
      </c>
      <c r="B96" t="s">
        <v>277</v>
      </c>
      <c r="C96" s="1">
        <v>46059</v>
      </c>
      <c r="D96" t="s">
        <v>278</v>
      </c>
      <c r="E96" t="s">
        <v>23</v>
      </c>
      <c r="F96" t="s">
        <v>24</v>
      </c>
      <c r="G96">
        <v>28</v>
      </c>
      <c r="H96" t="s">
        <v>108</v>
      </c>
      <c r="I96" t="s">
        <v>26</v>
      </c>
      <c r="J96" t="s">
        <v>64</v>
      </c>
      <c r="K96" t="s">
        <v>58</v>
      </c>
      <c r="L96">
        <v>1</v>
      </c>
      <c r="M96">
        <v>124000</v>
      </c>
      <c r="N96">
        <v>3</v>
      </c>
      <c r="O96">
        <v>120280</v>
      </c>
      <c r="P96">
        <v>18943.75</v>
      </c>
      <c r="Q96" t="s">
        <v>86</v>
      </c>
      <c r="R96" t="s">
        <v>96</v>
      </c>
      <c r="S96" t="s">
        <v>61</v>
      </c>
      <c r="T96" t="s">
        <v>32</v>
      </c>
    </row>
    <row r="97" spans="1:20" x14ac:dyDescent="0.25">
      <c r="A97" t="s">
        <v>20</v>
      </c>
      <c r="B97" t="s">
        <v>279</v>
      </c>
      <c r="C97" s="1">
        <v>46007</v>
      </c>
      <c r="D97" t="s">
        <v>280</v>
      </c>
      <c r="E97" t="s">
        <v>50</v>
      </c>
      <c r="F97" t="s">
        <v>55</v>
      </c>
      <c r="G97">
        <v>51</v>
      </c>
      <c r="H97" t="s">
        <v>56</v>
      </c>
      <c r="I97" t="s">
        <v>26</v>
      </c>
      <c r="J97" t="s">
        <v>77</v>
      </c>
      <c r="K97" t="s">
        <v>68</v>
      </c>
      <c r="L97">
        <v>1</v>
      </c>
      <c r="M97">
        <v>195000</v>
      </c>
      <c r="N97">
        <v>2</v>
      </c>
      <c r="O97">
        <v>191100</v>
      </c>
      <c r="P97">
        <v>16742.64</v>
      </c>
      <c r="Q97" t="s">
        <v>37</v>
      </c>
      <c r="R97" t="s">
        <v>30</v>
      </c>
      <c r="S97" t="s">
        <v>39</v>
      </c>
      <c r="T97" t="s">
        <v>32</v>
      </c>
    </row>
    <row r="98" spans="1:20" x14ac:dyDescent="0.25">
      <c r="A98" t="s">
        <v>20</v>
      </c>
      <c r="B98" t="s">
        <v>281</v>
      </c>
      <c r="C98" s="1">
        <v>45815</v>
      </c>
      <c r="D98" t="s">
        <v>282</v>
      </c>
      <c r="E98" t="s">
        <v>129</v>
      </c>
      <c r="F98" t="s">
        <v>55</v>
      </c>
      <c r="G98">
        <v>30</v>
      </c>
      <c r="H98" t="s">
        <v>25</v>
      </c>
      <c r="I98" t="s">
        <v>26</v>
      </c>
      <c r="J98" t="s">
        <v>36</v>
      </c>
      <c r="K98" t="s">
        <v>58</v>
      </c>
      <c r="L98">
        <v>1</v>
      </c>
      <c r="M98">
        <v>116000</v>
      </c>
      <c r="N98">
        <v>2</v>
      </c>
      <c r="O98">
        <v>113680</v>
      </c>
      <c r="P98">
        <v>14886.33</v>
      </c>
      <c r="Q98" t="s">
        <v>105</v>
      </c>
      <c r="R98" t="s">
        <v>38</v>
      </c>
      <c r="S98" t="s">
        <v>39</v>
      </c>
      <c r="T98" t="s">
        <v>32</v>
      </c>
    </row>
    <row r="99" spans="1:20" x14ac:dyDescent="0.25">
      <c r="A99" t="s">
        <v>20</v>
      </c>
      <c r="B99" t="s">
        <v>283</v>
      </c>
      <c r="C99" s="1">
        <v>45974</v>
      </c>
      <c r="D99" t="s">
        <v>284</v>
      </c>
      <c r="E99" t="s">
        <v>50</v>
      </c>
      <c r="F99" t="s">
        <v>24</v>
      </c>
      <c r="G99">
        <v>50</v>
      </c>
      <c r="H99" t="s">
        <v>51</v>
      </c>
      <c r="I99" t="s">
        <v>26</v>
      </c>
      <c r="J99" t="s">
        <v>57</v>
      </c>
      <c r="K99" t="s">
        <v>58</v>
      </c>
      <c r="L99">
        <v>1</v>
      </c>
      <c r="M99">
        <v>175000</v>
      </c>
      <c r="N99">
        <v>2</v>
      </c>
      <c r="O99">
        <v>171500</v>
      </c>
      <c r="P99">
        <v>23785.77</v>
      </c>
      <c r="Q99" t="s">
        <v>46</v>
      </c>
      <c r="R99" t="s">
        <v>60</v>
      </c>
      <c r="S99" t="s">
        <v>47</v>
      </c>
      <c r="T99" t="s">
        <v>40</v>
      </c>
    </row>
    <row r="100" spans="1:20" x14ac:dyDescent="0.25">
      <c r="A100" t="s">
        <v>20</v>
      </c>
      <c r="B100" t="s">
        <v>285</v>
      </c>
      <c r="C100" s="1">
        <v>46150</v>
      </c>
      <c r="D100" t="s">
        <v>286</v>
      </c>
      <c r="E100" t="s">
        <v>270</v>
      </c>
      <c r="F100" t="s">
        <v>55</v>
      </c>
      <c r="G100">
        <v>43</v>
      </c>
      <c r="H100" t="s">
        <v>44</v>
      </c>
      <c r="I100" t="s">
        <v>26</v>
      </c>
      <c r="J100" t="s">
        <v>45</v>
      </c>
      <c r="K100" t="s">
        <v>101</v>
      </c>
      <c r="L100">
        <v>1</v>
      </c>
      <c r="M100">
        <v>97000</v>
      </c>
      <c r="N100">
        <v>3</v>
      </c>
      <c r="O100">
        <v>94090</v>
      </c>
      <c r="P100">
        <v>17822.63</v>
      </c>
      <c r="Q100" t="s">
        <v>82</v>
      </c>
      <c r="R100" t="s">
        <v>126</v>
      </c>
      <c r="S100" t="s">
        <v>39</v>
      </c>
      <c r="T100" t="s">
        <v>40</v>
      </c>
    </row>
    <row r="101" spans="1:20" x14ac:dyDescent="0.25">
      <c r="A101" t="s">
        <v>20</v>
      </c>
      <c r="B101" t="s">
        <v>287</v>
      </c>
      <c r="C101" s="1">
        <v>46015</v>
      </c>
      <c r="D101" t="s">
        <v>288</v>
      </c>
      <c r="E101" t="s">
        <v>94</v>
      </c>
      <c r="F101" t="s">
        <v>55</v>
      </c>
      <c r="G101">
        <v>0</v>
      </c>
      <c r="H101" t="s">
        <v>194</v>
      </c>
      <c r="I101" t="s">
        <v>26</v>
      </c>
      <c r="J101" t="s">
        <v>36</v>
      </c>
      <c r="K101" t="s">
        <v>58</v>
      </c>
      <c r="L101">
        <v>1</v>
      </c>
      <c r="M101">
        <v>113000</v>
      </c>
      <c r="N101">
        <v>2</v>
      </c>
      <c r="O101">
        <v>110740</v>
      </c>
      <c r="P101">
        <v>11525.5</v>
      </c>
      <c r="Q101" t="s">
        <v>86</v>
      </c>
      <c r="R101" t="s">
        <v>96</v>
      </c>
      <c r="S101" t="s">
        <v>47</v>
      </c>
      <c r="T101" t="s">
        <v>32</v>
      </c>
    </row>
    <row r="102" spans="1:20" x14ac:dyDescent="0.25">
      <c r="A102" t="s">
        <v>20</v>
      </c>
      <c r="B102" t="s">
        <v>289</v>
      </c>
      <c r="C102" s="1">
        <v>45807</v>
      </c>
      <c r="D102" t="s">
        <v>290</v>
      </c>
      <c r="E102" t="s">
        <v>80</v>
      </c>
      <c r="F102" t="s">
        <v>24</v>
      </c>
      <c r="G102">
        <v>28</v>
      </c>
      <c r="H102" t="s">
        <v>44</v>
      </c>
      <c r="I102" t="s">
        <v>26</v>
      </c>
      <c r="J102" t="s">
        <v>64</v>
      </c>
      <c r="K102" t="s">
        <v>58</v>
      </c>
      <c r="L102">
        <v>1</v>
      </c>
      <c r="M102">
        <v>123000</v>
      </c>
      <c r="N102">
        <v>10</v>
      </c>
      <c r="O102">
        <v>110700</v>
      </c>
      <c r="P102">
        <v>5166.58</v>
      </c>
      <c r="Q102" t="s">
        <v>37</v>
      </c>
      <c r="R102" t="s">
        <v>38</v>
      </c>
      <c r="S102" t="s">
        <v>47</v>
      </c>
      <c r="T102" t="s">
        <v>32</v>
      </c>
    </row>
    <row r="103" spans="1:20" x14ac:dyDescent="0.25">
      <c r="A103" t="s">
        <v>20</v>
      </c>
      <c r="B103" t="s">
        <v>291</v>
      </c>
      <c r="C103" s="1">
        <v>46198</v>
      </c>
      <c r="D103" t="s">
        <v>292</v>
      </c>
      <c r="E103" t="s">
        <v>23</v>
      </c>
      <c r="F103" t="s">
        <v>24</v>
      </c>
      <c r="G103">
        <v>47</v>
      </c>
      <c r="H103" t="s">
        <v>25</v>
      </c>
      <c r="I103" t="s">
        <v>26</v>
      </c>
      <c r="J103" t="s">
        <v>27</v>
      </c>
      <c r="K103" t="s">
        <v>68</v>
      </c>
      <c r="L103">
        <v>1</v>
      </c>
      <c r="M103">
        <v>94000</v>
      </c>
      <c r="N103">
        <v>7</v>
      </c>
      <c r="O103">
        <v>87420</v>
      </c>
      <c r="P103">
        <v>3494.25</v>
      </c>
      <c r="Q103" t="s">
        <v>74</v>
      </c>
      <c r="R103" t="s">
        <v>30</v>
      </c>
      <c r="S103" t="s">
        <v>69</v>
      </c>
      <c r="T103" t="s">
        <v>32</v>
      </c>
    </row>
    <row r="104" spans="1:20" x14ac:dyDescent="0.25">
      <c r="A104" t="s">
        <v>20</v>
      </c>
      <c r="B104" t="s">
        <v>293</v>
      </c>
      <c r="C104" s="1">
        <v>46185</v>
      </c>
      <c r="D104" t="s">
        <v>294</v>
      </c>
      <c r="E104" t="s">
        <v>129</v>
      </c>
      <c r="F104" t="s">
        <v>24</v>
      </c>
      <c r="G104">
        <v>35</v>
      </c>
      <c r="H104" t="s">
        <v>85</v>
      </c>
      <c r="I104" t="s">
        <v>26</v>
      </c>
      <c r="J104" t="s">
        <v>77</v>
      </c>
      <c r="K104" t="s">
        <v>58</v>
      </c>
      <c r="L104">
        <v>1</v>
      </c>
      <c r="M104">
        <v>195000</v>
      </c>
      <c r="N104">
        <v>0</v>
      </c>
      <c r="O104">
        <v>181350</v>
      </c>
      <c r="P104">
        <v>16706.34</v>
      </c>
      <c r="Q104" t="s">
        <v>105</v>
      </c>
      <c r="R104" t="s">
        <v>60</v>
      </c>
      <c r="S104" t="s">
        <v>31</v>
      </c>
      <c r="T104" t="s">
        <v>40</v>
      </c>
    </row>
    <row r="105" spans="1:20" x14ac:dyDescent="0.25">
      <c r="A105" t="s">
        <v>20</v>
      </c>
      <c r="B105" t="s">
        <v>295</v>
      </c>
      <c r="C105" s="1">
        <v>46215</v>
      </c>
      <c r="D105" t="s">
        <v>296</v>
      </c>
      <c r="E105" t="s">
        <v>80</v>
      </c>
      <c r="F105" t="s">
        <v>24</v>
      </c>
      <c r="G105">
        <v>52</v>
      </c>
      <c r="H105" t="s">
        <v>108</v>
      </c>
      <c r="I105" t="s">
        <v>26</v>
      </c>
      <c r="J105" t="s">
        <v>45</v>
      </c>
      <c r="K105" t="s">
        <v>58</v>
      </c>
      <c r="L105">
        <v>1</v>
      </c>
      <c r="M105">
        <v>98000</v>
      </c>
      <c r="N105">
        <v>0</v>
      </c>
      <c r="O105">
        <v>98000</v>
      </c>
      <c r="P105">
        <v>10347.969999999999</v>
      </c>
      <c r="Q105" t="s">
        <v>105</v>
      </c>
      <c r="R105" t="s">
        <v>38</v>
      </c>
      <c r="S105" t="s">
        <v>39</v>
      </c>
      <c r="T105" t="s">
        <v>40</v>
      </c>
    </row>
    <row r="106" spans="1:20" x14ac:dyDescent="0.25">
      <c r="A106" t="s">
        <v>20</v>
      </c>
      <c r="B106" t="s">
        <v>297</v>
      </c>
      <c r="C106" s="1">
        <v>45764</v>
      </c>
      <c r="D106" t="s">
        <v>298</v>
      </c>
      <c r="E106" t="s">
        <v>129</v>
      </c>
      <c r="F106" t="s">
        <v>55</v>
      </c>
      <c r="G106">
        <v>41</v>
      </c>
      <c r="H106" t="s">
        <v>56</v>
      </c>
      <c r="I106" t="s">
        <v>26</v>
      </c>
      <c r="J106" t="s">
        <v>118</v>
      </c>
      <c r="K106" t="s">
        <v>101</v>
      </c>
      <c r="L106">
        <v>1</v>
      </c>
      <c r="M106">
        <v>85000</v>
      </c>
      <c r="N106">
        <v>2</v>
      </c>
      <c r="O106">
        <v>83300</v>
      </c>
      <c r="P106">
        <v>9524</v>
      </c>
      <c r="Q106" t="s">
        <v>86</v>
      </c>
      <c r="R106" t="s">
        <v>96</v>
      </c>
      <c r="S106" t="s">
        <v>61</v>
      </c>
      <c r="T106" t="s">
        <v>40</v>
      </c>
    </row>
    <row r="107" spans="1:20" x14ac:dyDescent="0.25">
      <c r="A107" t="s">
        <v>20</v>
      </c>
      <c r="B107" t="s">
        <v>299</v>
      </c>
      <c r="C107" s="1">
        <v>46126</v>
      </c>
      <c r="D107" t="s">
        <v>300</v>
      </c>
      <c r="E107" t="s">
        <v>72</v>
      </c>
      <c r="F107" t="s">
        <v>55</v>
      </c>
      <c r="G107">
        <v>22</v>
      </c>
      <c r="H107" t="s">
        <v>73</v>
      </c>
      <c r="I107" t="s">
        <v>26</v>
      </c>
      <c r="J107" t="s">
        <v>57</v>
      </c>
      <c r="K107" t="s">
        <v>28</v>
      </c>
      <c r="L107">
        <v>1</v>
      </c>
      <c r="M107">
        <v>173000</v>
      </c>
      <c r="N107">
        <v>10</v>
      </c>
      <c r="O107">
        <v>155700</v>
      </c>
      <c r="P107">
        <v>4646.29</v>
      </c>
      <c r="Q107" t="s">
        <v>52</v>
      </c>
      <c r="R107" t="s">
        <v>30</v>
      </c>
      <c r="S107" t="s">
        <v>39</v>
      </c>
      <c r="T107" t="s">
        <v>40</v>
      </c>
    </row>
    <row r="108" spans="1:20" x14ac:dyDescent="0.25">
      <c r="A108" t="s">
        <v>20</v>
      </c>
      <c r="B108" t="s">
        <v>301</v>
      </c>
      <c r="C108" s="1">
        <v>45853</v>
      </c>
      <c r="D108" t="s">
        <v>302</v>
      </c>
      <c r="E108" t="s">
        <v>43</v>
      </c>
      <c r="F108" t="s">
        <v>55</v>
      </c>
      <c r="G108">
        <v>0</v>
      </c>
      <c r="H108" t="s">
        <v>95</v>
      </c>
      <c r="I108" t="s">
        <v>26</v>
      </c>
      <c r="J108" t="s">
        <v>36</v>
      </c>
      <c r="K108" t="s">
        <v>101</v>
      </c>
      <c r="L108">
        <v>3</v>
      </c>
      <c r="M108">
        <v>116000</v>
      </c>
      <c r="N108">
        <v>5</v>
      </c>
      <c r="O108">
        <v>330600</v>
      </c>
      <c r="P108">
        <v>48581.62</v>
      </c>
      <c r="Q108" t="s">
        <v>74</v>
      </c>
      <c r="R108" t="s">
        <v>30</v>
      </c>
      <c r="S108" t="s">
        <v>39</v>
      </c>
      <c r="T108" t="s">
        <v>40</v>
      </c>
    </row>
    <row r="109" spans="1:20" x14ac:dyDescent="0.25">
      <c r="A109" t="s">
        <v>20</v>
      </c>
      <c r="B109" t="s">
        <v>303</v>
      </c>
      <c r="C109" s="1">
        <v>46166</v>
      </c>
      <c r="D109" t="s">
        <v>304</v>
      </c>
      <c r="E109" t="s">
        <v>43</v>
      </c>
      <c r="F109" t="s">
        <v>24</v>
      </c>
      <c r="G109">
        <v>51</v>
      </c>
      <c r="H109" t="s">
        <v>85</v>
      </c>
      <c r="I109" t="s">
        <v>26</v>
      </c>
      <c r="J109" t="s">
        <v>237</v>
      </c>
      <c r="K109" t="s">
        <v>28</v>
      </c>
      <c r="L109">
        <v>2</v>
      </c>
      <c r="M109">
        <v>195000</v>
      </c>
      <c r="N109">
        <v>3</v>
      </c>
      <c r="O109">
        <v>378300</v>
      </c>
      <c r="P109">
        <v>28529.74</v>
      </c>
      <c r="Q109" t="s">
        <v>59</v>
      </c>
      <c r="R109" t="s">
        <v>30</v>
      </c>
      <c r="S109" t="s">
        <v>47</v>
      </c>
      <c r="T109" t="s">
        <v>32</v>
      </c>
    </row>
    <row r="110" spans="1:20" x14ac:dyDescent="0.25">
      <c r="A110" t="s">
        <v>20</v>
      </c>
      <c r="B110" t="s">
        <v>305</v>
      </c>
      <c r="C110" s="1">
        <v>45971</v>
      </c>
      <c r="D110" t="s">
        <v>306</v>
      </c>
      <c r="E110" t="s">
        <v>94</v>
      </c>
      <c r="F110" t="s">
        <v>55</v>
      </c>
      <c r="G110">
        <v>48</v>
      </c>
      <c r="H110" t="s">
        <v>51</v>
      </c>
      <c r="I110" t="s">
        <v>26</v>
      </c>
      <c r="J110" t="s">
        <v>36</v>
      </c>
      <c r="K110" t="s">
        <v>58</v>
      </c>
      <c r="L110">
        <v>1</v>
      </c>
      <c r="M110">
        <v>113000</v>
      </c>
      <c r="N110">
        <v>3</v>
      </c>
      <c r="O110">
        <v>109610</v>
      </c>
      <c r="P110">
        <v>12507.94</v>
      </c>
      <c r="Q110" t="s">
        <v>86</v>
      </c>
      <c r="R110" t="s">
        <v>38</v>
      </c>
      <c r="S110" t="s">
        <v>69</v>
      </c>
      <c r="T110" t="s">
        <v>40</v>
      </c>
    </row>
    <row r="111" spans="1:20" x14ac:dyDescent="0.25">
      <c r="A111" t="s">
        <v>20</v>
      </c>
      <c r="B111" t="s">
        <v>307</v>
      </c>
      <c r="C111" s="1">
        <v>46073</v>
      </c>
      <c r="D111" t="s">
        <v>308</v>
      </c>
      <c r="E111" t="s">
        <v>129</v>
      </c>
      <c r="F111" t="s">
        <v>55</v>
      </c>
      <c r="G111">
        <v>43</v>
      </c>
      <c r="H111" t="s">
        <v>191</v>
      </c>
      <c r="I111" t="s">
        <v>26</v>
      </c>
      <c r="J111" t="s">
        <v>81</v>
      </c>
      <c r="K111" t="s">
        <v>68</v>
      </c>
      <c r="L111">
        <v>1</v>
      </c>
      <c r="M111">
        <v>233000</v>
      </c>
      <c r="N111">
        <v>0</v>
      </c>
      <c r="O111">
        <v>233000</v>
      </c>
      <c r="P111">
        <v>32493.7</v>
      </c>
      <c r="Q111" t="s">
        <v>46</v>
      </c>
      <c r="R111" t="s">
        <v>30</v>
      </c>
      <c r="S111" t="s">
        <v>31</v>
      </c>
      <c r="T111" t="s">
        <v>32</v>
      </c>
    </row>
    <row r="112" spans="1:20" x14ac:dyDescent="0.25">
      <c r="A112" t="s">
        <v>20</v>
      </c>
      <c r="B112" t="s">
        <v>309</v>
      </c>
      <c r="C112" s="1">
        <v>46118</v>
      </c>
      <c r="D112" t="s">
        <v>310</v>
      </c>
      <c r="E112" t="s">
        <v>43</v>
      </c>
      <c r="F112" t="s">
        <v>24</v>
      </c>
      <c r="G112">
        <v>43</v>
      </c>
      <c r="H112" t="s">
        <v>56</v>
      </c>
      <c r="I112" t="s">
        <v>26</v>
      </c>
      <c r="J112" t="s">
        <v>111</v>
      </c>
      <c r="K112" t="s">
        <v>28</v>
      </c>
      <c r="L112">
        <v>1</v>
      </c>
      <c r="M112">
        <v>126000</v>
      </c>
      <c r="N112">
        <v>0</v>
      </c>
      <c r="O112">
        <v>126000</v>
      </c>
      <c r="P112">
        <v>18570.97</v>
      </c>
      <c r="Q112" t="s">
        <v>37</v>
      </c>
      <c r="R112" t="s">
        <v>60</v>
      </c>
      <c r="S112" t="s">
        <v>47</v>
      </c>
      <c r="T112" t="s">
        <v>40</v>
      </c>
    </row>
    <row r="113" spans="1:20" x14ac:dyDescent="0.25">
      <c r="A113" t="s">
        <v>20</v>
      </c>
      <c r="B113" t="s">
        <v>311</v>
      </c>
      <c r="C113" s="1">
        <v>46188</v>
      </c>
      <c r="D113" t="s">
        <v>312</v>
      </c>
      <c r="E113" t="s">
        <v>23</v>
      </c>
      <c r="F113" t="s">
        <v>24</v>
      </c>
      <c r="G113">
        <v>44</v>
      </c>
      <c r="H113" t="s">
        <v>44</v>
      </c>
      <c r="I113" t="s">
        <v>26</v>
      </c>
      <c r="J113" t="s">
        <v>104</v>
      </c>
      <c r="K113" t="s">
        <v>101</v>
      </c>
      <c r="L113">
        <v>2</v>
      </c>
      <c r="M113">
        <v>168000</v>
      </c>
      <c r="N113">
        <v>10</v>
      </c>
      <c r="O113">
        <v>302400</v>
      </c>
      <c r="P113">
        <v>32818.54</v>
      </c>
      <c r="Q113" t="s">
        <v>46</v>
      </c>
      <c r="R113" t="s">
        <v>96</v>
      </c>
      <c r="S113" t="s">
        <v>87</v>
      </c>
      <c r="T113" t="s">
        <v>40</v>
      </c>
    </row>
    <row r="114" spans="1:20" x14ac:dyDescent="0.25">
      <c r="A114" t="s">
        <v>20</v>
      </c>
      <c r="B114" t="s">
        <v>313</v>
      </c>
      <c r="C114" s="1">
        <v>46113</v>
      </c>
      <c r="D114" t="s">
        <v>314</v>
      </c>
      <c r="E114" t="s">
        <v>43</v>
      </c>
      <c r="F114" t="s">
        <v>24</v>
      </c>
      <c r="G114">
        <v>25</v>
      </c>
      <c r="H114" t="s">
        <v>44</v>
      </c>
      <c r="I114" t="s">
        <v>26</v>
      </c>
      <c r="J114" t="s">
        <v>57</v>
      </c>
      <c r="K114" t="s">
        <v>28</v>
      </c>
      <c r="L114">
        <v>1</v>
      </c>
      <c r="M114">
        <v>173000</v>
      </c>
      <c r="N114">
        <v>5</v>
      </c>
      <c r="O114">
        <v>164350</v>
      </c>
      <c r="P114">
        <v>25825.65</v>
      </c>
      <c r="Q114" t="s">
        <v>74</v>
      </c>
      <c r="R114" t="s">
        <v>60</v>
      </c>
      <c r="S114" t="s">
        <v>31</v>
      </c>
      <c r="T114" t="s">
        <v>32</v>
      </c>
    </row>
    <row r="115" spans="1:20" x14ac:dyDescent="0.25">
      <c r="A115" t="s">
        <v>20</v>
      </c>
      <c r="B115" t="s">
        <v>315</v>
      </c>
      <c r="C115" s="1">
        <v>46163</v>
      </c>
      <c r="D115" t="s">
        <v>316</v>
      </c>
      <c r="E115" t="s">
        <v>43</v>
      </c>
      <c r="F115" t="s">
        <v>24</v>
      </c>
      <c r="G115">
        <v>21</v>
      </c>
      <c r="H115" t="s">
        <v>44</v>
      </c>
      <c r="I115" t="s">
        <v>26</v>
      </c>
      <c r="J115" t="s">
        <v>64</v>
      </c>
      <c r="K115" t="s">
        <v>58</v>
      </c>
      <c r="L115">
        <v>1</v>
      </c>
      <c r="M115">
        <v>124000</v>
      </c>
      <c r="N115">
        <v>2</v>
      </c>
      <c r="O115">
        <v>121520</v>
      </c>
      <c r="P115">
        <v>21277.37</v>
      </c>
      <c r="Q115" t="s">
        <v>37</v>
      </c>
      <c r="R115" t="s">
        <v>30</v>
      </c>
      <c r="S115" t="s">
        <v>69</v>
      </c>
      <c r="T115" t="s">
        <v>40</v>
      </c>
    </row>
    <row r="116" spans="1:20" x14ac:dyDescent="0.25">
      <c r="A116" t="s">
        <v>20</v>
      </c>
      <c r="B116" t="s">
        <v>317</v>
      </c>
      <c r="C116" s="1">
        <v>45982</v>
      </c>
      <c r="D116" t="s">
        <v>318</v>
      </c>
      <c r="E116" t="s">
        <v>35</v>
      </c>
      <c r="F116" t="s">
        <v>24</v>
      </c>
      <c r="G116">
        <v>24</v>
      </c>
      <c r="H116" t="s">
        <v>85</v>
      </c>
      <c r="I116" t="s">
        <v>26</v>
      </c>
      <c r="J116" t="s">
        <v>77</v>
      </c>
      <c r="K116" t="s">
        <v>101</v>
      </c>
      <c r="L116">
        <v>1</v>
      </c>
      <c r="M116">
        <v>195000</v>
      </c>
      <c r="N116">
        <v>7</v>
      </c>
      <c r="O116">
        <v>181350</v>
      </c>
      <c r="P116">
        <v>27524.23</v>
      </c>
      <c r="Q116" t="s">
        <v>37</v>
      </c>
      <c r="R116" t="s">
        <v>96</v>
      </c>
      <c r="S116" t="s">
        <v>31</v>
      </c>
      <c r="T116" t="s">
        <v>40</v>
      </c>
    </row>
    <row r="117" spans="1:20" x14ac:dyDescent="0.25">
      <c r="A117" t="s">
        <v>20</v>
      </c>
      <c r="B117" t="s">
        <v>319</v>
      </c>
      <c r="C117" s="1">
        <v>45823</v>
      </c>
      <c r="D117" t="s">
        <v>320</v>
      </c>
      <c r="E117" t="s">
        <v>50</v>
      </c>
      <c r="F117" t="s">
        <v>24</v>
      </c>
      <c r="G117">
        <v>40</v>
      </c>
      <c r="H117" t="s">
        <v>25</v>
      </c>
      <c r="I117" t="s">
        <v>26</v>
      </c>
      <c r="J117" t="s">
        <v>36</v>
      </c>
      <c r="K117" t="s">
        <v>101</v>
      </c>
      <c r="L117">
        <v>1</v>
      </c>
      <c r="M117">
        <v>116000</v>
      </c>
      <c r="N117">
        <v>2</v>
      </c>
      <c r="O117">
        <v>113680</v>
      </c>
      <c r="P117">
        <v>18966.59</v>
      </c>
      <c r="Q117" t="s">
        <v>82</v>
      </c>
      <c r="R117" t="s">
        <v>60</v>
      </c>
      <c r="S117" t="s">
        <v>31</v>
      </c>
      <c r="T117" t="s">
        <v>40</v>
      </c>
    </row>
    <row r="118" spans="1:20" x14ac:dyDescent="0.25">
      <c r="A118" t="s">
        <v>20</v>
      </c>
      <c r="B118" t="s">
        <v>321</v>
      </c>
      <c r="C118" s="1">
        <v>46264</v>
      </c>
      <c r="D118" t="s">
        <v>322</v>
      </c>
      <c r="E118" t="s">
        <v>129</v>
      </c>
      <c r="F118" t="s">
        <v>24</v>
      </c>
      <c r="G118">
        <v>29</v>
      </c>
      <c r="H118" t="s">
        <v>51</v>
      </c>
      <c r="I118" t="s">
        <v>26</v>
      </c>
      <c r="J118" t="s">
        <v>45</v>
      </c>
      <c r="K118" t="s">
        <v>28</v>
      </c>
      <c r="L118">
        <v>1</v>
      </c>
      <c r="M118">
        <v>96000</v>
      </c>
      <c r="N118">
        <v>7</v>
      </c>
      <c r="O118">
        <v>89280</v>
      </c>
      <c r="P118">
        <v>7015.82</v>
      </c>
      <c r="Q118" t="s">
        <v>105</v>
      </c>
      <c r="R118" t="s">
        <v>30</v>
      </c>
      <c r="S118" t="s">
        <v>69</v>
      </c>
      <c r="T118" t="s">
        <v>40</v>
      </c>
    </row>
    <row r="119" spans="1:20" x14ac:dyDescent="0.25">
      <c r="A119" t="s">
        <v>20</v>
      </c>
      <c r="B119" t="s">
        <v>323</v>
      </c>
      <c r="C119" s="1">
        <v>46216</v>
      </c>
      <c r="D119" t="s">
        <v>324</v>
      </c>
      <c r="E119" t="s">
        <v>72</v>
      </c>
      <c r="F119" t="s">
        <v>24</v>
      </c>
      <c r="G119">
        <v>38</v>
      </c>
      <c r="H119" t="s">
        <v>95</v>
      </c>
      <c r="I119" t="s">
        <v>26</v>
      </c>
      <c r="J119" t="s">
        <v>158</v>
      </c>
      <c r="K119" t="s">
        <v>68</v>
      </c>
      <c r="L119">
        <v>1</v>
      </c>
      <c r="M119">
        <v>123000</v>
      </c>
      <c r="N119">
        <v>5</v>
      </c>
      <c r="O119">
        <v>116850</v>
      </c>
      <c r="P119">
        <v>7788.41</v>
      </c>
      <c r="Q119" t="s">
        <v>105</v>
      </c>
      <c r="R119" t="s">
        <v>60</v>
      </c>
      <c r="S119" t="s">
        <v>47</v>
      </c>
      <c r="T119" t="s">
        <v>32</v>
      </c>
    </row>
    <row r="120" spans="1:20" x14ac:dyDescent="0.25">
      <c r="A120" t="s">
        <v>20</v>
      </c>
      <c r="B120" t="s">
        <v>325</v>
      </c>
      <c r="C120" s="1">
        <v>45805</v>
      </c>
      <c r="D120" t="s">
        <v>326</v>
      </c>
      <c r="E120" t="s">
        <v>43</v>
      </c>
      <c r="F120" t="s">
        <v>24</v>
      </c>
      <c r="G120">
        <v>40</v>
      </c>
      <c r="H120" t="s">
        <v>73</v>
      </c>
      <c r="I120" t="s">
        <v>26</v>
      </c>
      <c r="J120" t="s">
        <v>118</v>
      </c>
      <c r="K120" t="s">
        <v>58</v>
      </c>
      <c r="L120">
        <v>1</v>
      </c>
      <c r="M120">
        <v>85000</v>
      </c>
      <c r="N120">
        <v>5</v>
      </c>
      <c r="O120">
        <v>80750</v>
      </c>
      <c r="P120">
        <v>12368.97</v>
      </c>
      <c r="Q120" t="s">
        <v>37</v>
      </c>
      <c r="R120" t="s">
        <v>60</v>
      </c>
      <c r="S120" t="s">
        <v>87</v>
      </c>
      <c r="T120" t="s">
        <v>32</v>
      </c>
    </row>
    <row r="121" spans="1:20" x14ac:dyDescent="0.25">
      <c r="A121" t="s">
        <v>20</v>
      </c>
      <c r="B121" t="s">
        <v>327</v>
      </c>
      <c r="C121" s="1">
        <v>45757</v>
      </c>
      <c r="D121" t="s">
        <v>328</v>
      </c>
      <c r="E121" t="s">
        <v>72</v>
      </c>
      <c r="F121" t="s">
        <v>24</v>
      </c>
      <c r="G121">
        <v>23</v>
      </c>
      <c r="H121" t="s">
        <v>44</v>
      </c>
      <c r="I121" t="s">
        <v>26</v>
      </c>
      <c r="J121" t="s">
        <v>64</v>
      </c>
      <c r="K121" t="s">
        <v>58</v>
      </c>
      <c r="L121">
        <v>1</v>
      </c>
      <c r="M121">
        <v>125000</v>
      </c>
      <c r="N121">
        <v>5</v>
      </c>
      <c r="O121">
        <v>118750</v>
      </c>
      <c r="P121">
        <v>17531.22</v>
      </c>
      <c r="Q121" t="s">
        <v>52</v>
      </c>
      <c r="R121" t="s">
        <v>96</v>
      </c>
      <c r="S121" t="s">
        <v>39</v>
      </c>
      <c r="T121" t="s">
        <v>40</v>
      </c>
    </row>
    <row r="122" spans="1:20" x14ac:dyDescent="0.25">
      <c r="A122" t="s">
        <v>20</v>
      </c>
      <c r="B122" t="s">
        <v>329</v>
      </c>
      <c r="C122" s="1">
        <v>45973</v>
      </c>
      <c r="D122" t="s">
        <v>330</v>
      </c>
      <c r="E122" t="s">
        <v>80</v>
      </c>
      <c r="F122" t="s">
        <v>55</v>
      </c>
      <c r="G122">
        <v>51</v>
      </c>
      <c r="H122" t="s">
        <v>73</v>
      </c>
      <c r="I122" t="s">
        <v>26</v>
      </c>
      <c r="J122" t="s">
        <v>111</v>
      </c>
      <c r="K122" t="s">
        <v>58</v>
      </c>
      <c r="L122">
        <v>1</v>
      </c>
      <c r="M122">
        <v>126000</v>
      </c>
      <c r="N122">
        <v>5</v>
      </c>
      <c r="O122">
        <v>119700</v>
      </c>
      <c r="P122">
        <v>13878.75</v>
      </c>
      <c r="Q122" t="s">
        <v>46</v>
      </c>
      <c r="R122" t="s">
        <v>96</v>
      </c>
      <c r="S122" t="s">
        <v>31</v>
      </c>
      <c r="T122" t="s">
        <v>40</v>
      </c>
    </row>
    <row r="123" spans="1:20" x14ac:dyDescent="0.25">
      <c r="A123" t="s">
        <v>20</v>
      </c>
      <c r="B123" t="s">
        <v>331</v>
      </c>
      <c r="C123" s="1">
        <v>45950</v>
      </c>
      <c r="D123" t="s">
        <v>332</v>
      </c>
      <c r="E123" t="s">
        <v>80</v>
      </c>
      <c r="F123" t="s">
        <v>55</v>
      </c>
      <c r="G123">
        <v>54</v>
      </c>
      <c r="H123" t="s">
        <v>25</v>
      </c>
      <c r="I123" t="s">
        <v>26</v>
      </c>
      <c r="J123" t="s">
        <v>118</v>
      </c>
      <c r="K123" t="s">
        <v>58</v>
      </c>
      <c r="L123">
        <v>1</v>
      </c>
      <c r="M123">
        <v>86000</v>
      </c>
      <c r="N123">
        <v>10</v>
      </c>
      <c r="O123">
        <v>77400</v>
      </c>
      <c r="P123">
        <v>3379.59</v>
      </c>
      <c r="Q123" t="s">
        <v>37</v>
      </c>
      <c r="R123" t="s">
        <v>60</v>
      </c>
      <c r="S123" t="s">
        <v>61</v>
      </c>
      <c r="T123" t="s">
        <v>40</v>
      </c>
    </row>
    <row r="124" spans="1:20" x14ac:dyDescent="0.25">
      <c r="A124" t="s">
        <v>20</v>
      </c>
      <c r="B124" t="s">
        <v>333</v>
      </c>
      <c r="C124" s="1">
        <v>46029</v>
      </c>
      <c r="D124" t="s">
        <v>334</v>
      </c>
      <c r="E124" t="s">
        <v>72</v>
      </c>
      <c r="F124" t="s">
        <v>55</v>
      </c>
      <c r="G124">
        <v>55</v>
      </c>
      <c r="H124" t="s">
        <v>56</v>
      </c>
      <c r="I124" t="s">
        <v>26</v>
      </c>
      <c r="J124" t="s">
        <v>77</v>
      </c>
      <c r="K124" t="s">
        <v>58</v>
      </c>
      <c r="L124">
        <v>1</v>
      </c>
      <c r="M124">
        <v>193000</v>
      </c>
      <c r="N124">
        <v>7</v>
      </c>
      <c r="O124">
        <v>179490</v>
      </c>
      <c r="P124">
        <v>15938.32</v>
      </c>
      <c r="Q124" t="s">
        <v>46</v>
      </c>
      <c r="R124" t="s">
        <v>60</v>
      </c>
      <c r="S124" t="s">
        <v>87</v>
      </c>
      <c r="T124" t="s">
        <v>32</v>
      </c>
    </row>
    <row r="125" spans="1:20" x14ac:dyDescent="0.25">
      <c r="A125" t="s">
        <v>20</v>
      </c>
      <c r="B125" t="s">
        <v>335</v>
      </c>
      <c r="C125" s="1">
        <v>45805</v>
      </c>
      <c r="D125" t="s">
        <v>336</v>
      </c>
      <c r="E125" t="s">
        <v>94</v>
      </c>
      <c r="F125" t="s">
        <v>55</v>
      </c>
      <c r="G125">
        <v>32</v>
      </c>
      <c r="H125" t="s">
        <v>108</v>
      </c>
      <c r="I125" t="s">
        <v>26</v>
      </c>
      <c r="J125" t="s">
        <v>45</v>
      </c>
      <c r="K125" t="s">
        <v>28</v>
      </c>
      <c r="L125">
        <v>1</v>
      </c>
      <c r="M125">
        <v>98000</v>
      </c>
      <c r="N125">
        <v>0</v>
      </c>
      <c r="O125">
        <v>91140</v>
      </c>
      <c r="P125">
        <v>3657.96</v>
      </c>
      <c r="Q125" t="s">
        <v>105</v>
      </c>
      <c r="R125" t="s">
        <v>96</v>
      </c>
      <c r="S125" t="s">
        <v>61</v>
      </c>
      <c r="T125" t="s">
        <v>40</v>
      </c>
    </row>
    <row r="126" spans="1:20" x14ac:dyDescent="0.25">
      <c r="A126" t="s">
        <v>20</v>
      </c>
      <c r="B126" t="s">
        <v>337</v>
      </c>
      <c r="C126" s="1">
        <v>45984</v>
      </c>
      <c r="D126" t="s">
        <v>338</v>
      </c>
      <c r="E126" t="s">
        <v>94</v>
      </c>
      <c r="F126" t="s">
        <v>24</v>
      </c>
      <c r="G126">
        <v>0</v>
      </c>
      <c r="H126" t="s">
        <v>339</v>
      </c>
      <c r="I126" t="s">
        <v>26</v>
      </c>
      <c r="J126" t="s">
        <v>57</v>
      </c>
      <c r="K126" t="s">
        <v>101</v>
      </c>
      <c r="L126">
        <v>1</v>
      </c>
      <c r="M126">
        <v>176000</v>
      </c>
      <c r="N126">
        <v>2</v>
      </c>
      <c r="O126">
        <v>172480</v>
      </c>
      <c r="P126">
        <v>28273.360000000001</v>
      </c>
      <c r="Q126" t="s">
        <v>46</v>
      </c>
      <c r="R126" t="s">
        <v>60</v>
      </c>
      <c r="S126" t="s">
        <v>47</v>
      </c>
      <c r="T126" t="s">
        <v>32</v>
      </c>
    </row>
    <row r="127" spans="1:20" x14ac:dyDescent="0.25">
      <c r="A127" t="s">
        <v>20</v>
      </c>
      <c r="B127" t="s">
        <v>340</v>
      </c>
      <c r="C127" s="1">
        <v>45685</v>
      </c>
      <c r="D127" t="s">
        <v>341</v>
      </c>
      <c r="E127" t="s">
        <v>72</v>
      </c>
      <c r="F127" t="s">
        <v>55</v>
      </c>
      <c r="G127">
        <v>50</v>
      </c>
      <c r="H127" t="s">
        <v>56</v>
      </c>
      <c r="I127" t="s">
        <v>26</v>
      </c>
      <c r="J127" t="s">
        <v>64</v>
      </c>
      <c r="K127" t="s">
        <v>28</v>
      </c>
      <c r="L127">
        <v>1</v>
      </c>
      <c r="M127">
        <v>125000</v>
      </c>
      <c r="N127">
        <v>7</v>
      </c>
      <c r="O127">
        <v>116250</v>
      </c>
      <c r="P127">
        <v>14134.83</v>
      </c>
      <c r="Q127" t="s">
        <v>46</v>
      </c>
      <c r="R127" t="s">
        <v>96</v>
      </c>
      <c r="S127" t="s">
        <v>87</v>
      </c>
      <c r="T127" t="s">
        <v>40</v>
      </c>
    </row>
    <row r="128" spans="1:20" x14ac:dyDescent="0.25">
      <c r="A128" t="s">
        <v>20</v>
      </c>
      <c r="B128" t="s">
        <v>342</v>
      </c>
      <c r="C128" s="1">
        <v>46109</v>
      </c>
      <c r="D128" t="s">
        <v>343</v>
      </c>
      <c r="E128" t="s">
        <v>94</v>
      </c>
      <c r="F128" t="s">
        <v>55</v>
      </c>
      <c r="G128">
        <v>40</v>
      </c>
      <c r="H128" t="s">
        <v>44</v>
      </c>
      <c r="I128" t="s">
        <v>26</v>
      </c>
      <c r="J128" t="s">
        <v>121</v>
      </c>
      <c r="K128" t="s">
        <v>58</v>
      </c>
      <c r="L128">
        <v>1</v>
      </c>
      <c r="M128">
        <v>100000</v>
      </c>
      <c r="N128">
        <v>0</v>
      </c>
      <c r="O128">
        <v>100000</v>
      </c>
      <c r="P128">
        <v>19710.59</v>
      </c>
      <c r="Q128" t="s">
        <v>52</v>
      </c>
      <c r="R128" t="s">
        <v>38</v>
      </c>
      <c r="S128" t="s">
        <v>87</v>
      </c>
      <c r="T128" t="s">
        <v>40</v>
      </c>
    </row>
    <row r="129" spans="1:20" x14ac:dyDescent="0.25">
      <c r="A129" t="s">
        <v>20</v>
      </c>
      <c r="B129" t="s">
        <v>344</v>
      </c>
      <c r="C129" s="1">
        <v>46147</v>
      </c>
      <c r="D129" t="s">
        <v>345</v>
      </c>
      <c r="E129" t="s">
        <v>94</v>
      </c>
      <c r="F129" t="s">
        <v>24</v>
      </c>
      <c r="G129">
        <v>53</v>
      </c>
      <c r="H129" t="s">
        <v>73</v>
      </c>
      <c r="I129" t="s">
        <v>26</v>
      </c>
      <c r="J129" t="s">
        <v>118</v>
      </c>
      <c r="K129" t="s">
        <v>68</v>
      </c>
      <c r="L129">
        <v>1</v>
      </c>
      <c r="M129">
        <v>86000</v>
      </c>
      <c r="N129">
        <v>3</v>
      </c>
      <c r="O129">
        <v>83420</v>
      </c>
      <c r="P129">
        <v>6039.37</v>
      </c>
      <c r="Q129" t="s">
        <v>46</v>
      </c>
      <c r="R129" t="s">
        <v>60</v>
      </c>
      <c r="S129" t="s">
        <v>87</v>
      </c>
      <c r="T129" t="s">
        <v>40</v>
      </c>
    </row>
    <row r="130" spans="1:20" x14ac:dyDescent="0.25">
      <c r="A130" t="s">
        <v>20</v>
      </c>
      <c r="B130" t="s">
        <v>346</v>
      </c>
      <c r="C130" s="1">
        <v>45888</v>
      </c>
      <c r="D130" t="s">
        <v>347</v>
      </c>
      <c r="E130" t="s">
        <v>72</v>
      </c>
      <c r="F130" t="s">
        <v>55</v>
      </c>
      <c r="G130">
        <v>39</v>
      </c>
      <c r="H130" t="s">
        <v>339</v>
      </c>
      <c r="I130" t="s">
        <v>26</v>
      </c>
      <c r="J130" t="s">
        <v>104</v>
      </c>
      <c r="K130" t="s">
        <v>58</v>
      </c>
      <c r="L130">
        <v>1</v>
      </c>
      <c r="M130">
        <v>169000</v>
      </c>
      <c r="N130">
        <v>3</v>
      </c>
      <c r="O130">
        <v>163930</v>
      </c>
      <c r="P130">
        <v>20792</v>
      </c>
      <c r="Q130" t="s">
        <v>86</v>
      </c>
      <c r="R130" t="s">
        <v>38</v>
      </c>
      <c r="S130" t="s">
        <v>39</v>
      </c>
      <c r="T130" t="s">
        <v>40</v>
      </c>
    </row>
    <row r="131" spans="1:20" x14ac:dyDescent="0.25">
      <c r="A131" t="s">
        <v>20</v>
      </c>
      <c r="B131" t="s">
        <v>348</v>
      </c>
      <c r="C131" s="1">
        <v>46062</v>
      </c>
      <c r="D131" t="s">
        <v>349</v>
      </c>
      <c r="E131" t="s">
        <v>129</v>
      </c>
      <c r="F131" t="s">
        <v>24</v>
      </c>
      <c r="G131">
        <v>42</v>
      </c>
      <c r="H131" t="s">
        <v>108</v>
      </c>
      <c r="I131" t="s">
        <v>26</v>
      </c>
      <c r="J131" t="s">
        <v>104</v>
      </c>
      <c r="K131" t="s">
        <v>28</v>
      </c>
      <c r="L131">
        <v>1</v>
      </c>
      <c r="M131">
        <v>171000</v>
      </c>
      <c r="N131">
        <v>5</v>
      </c>
      <c r="O131">
        <v>162450</v>
      </c>
      <c r="P131">
        <v>10689</v>
      </c>
      <c r="Q131" t="s">
        <v>74</v>
      </c>
      <c r="R131" t="s">
        <v>30</v>
      </c>
      <c r="S131" t="s">
        <v>39</v>
      </c>
      <c r="T131" t="s">
        <v>40</v>
      </c>
    </row>
    <row r="132" spans="1:20" x14ac:dyDescent="0.25">
      <c r="A132" t="s">
        <v>20</v>
      </c>
      <c r="B132" t="s">
        <v>350</v>
      </c>
      <c r="C132" s="1">
        <v>45936</v>
      </c>
      <c r="D132" t="s">
        <v>351</v>
      </c>
      <c r="E132" t="s">
        <v>270</v>
      </c>
      <c r="F132" t="s">
        <v>55</v>
      </c>
      <c r="G132">
        <v>28</v>
      </c>
      <c r="H132" t="s">
        <v>85</v>
      </c>
      <c r="I132" t="s">
        <v>26</v>
      </c>
      <c r="J132" t="s">
        <v>104</v>
      </c>
      <c r="K132" t="s">
        <v>68</v>
      </c>
      <c r="L132">
        <v>1</v>
      </c>
      <c r="M132">
        <v>171000</v>
      </c>
      <c r="N132">
        <v>3</v>
      </c>
      <c r="O132">
        <v>165870</v>
      </c>
      <c r="P132">
        <v>13344.35</v>
      </c>
      <c r="Q132" t="s">
        <v>105</v>
      </c>
      <c r="R132" t="s">
        <v>96</v>
      </c>
      <c r="S132" t="s">
        <v>61</v>
      </c>
      <c r="T132" t="s">
        <v>32</v>
      </c>
    </row>
    <row r="133" spans="1:20" x14ac:dyDescent="0.25">
      <c r="A133" t="s">
        <v>20</v>
      </c>
      <c r="B133" t="s">
        <v>352</v>
      </c>
      <c r="C133" s="1">
        <v>45798</v>
      </c>
      <c r="D133" t="s">
        <v>353</v>
      </c>
      <c r="E133" t="s">
        <v>129</v>
      </c>
      <c r="F133" t="s">
        <v>24</v>
      </c>
      <c r="G133">
        <v>20</v>
      </c>
      <c r="H133" t="s">
        <v>108</v>
      </c>
      <c r="I133" t="s">
        <v>26</v>
      </c>
      <c r="J133" t="s">
        <v>118</v>
      </c>
      <c r="K133" t="s">
        <v>58</v>
      </c>
      <c r="L133">
        <v>1</v>
      </c>
      <c r="M133">
        <v>87000</v>
      </c>
      <c r="N133">
        <v>5</v>
      </c>
      <c r="O133">
        <v>82650</v>
      </c>
      <c r="P133">
        <v>13740.31</v>
      </c>
      <c r="Q133" t="s">
        <v>46</v>
      </c>
      <c r="R133" t="s">
        <v>96</v>
      </c>
      <c r="S133" t="s">
        <v>39</v>
      </c>
      <c r="T133" t="s">
        <v>40</v>
      </c>
    </row>
    <row r="134" spans="1:20" x14ac:dyDescent="0.25">
      <c r="A134" t="s">
        <v>20</v>
      </c>
      <c r="B134" t="s">
        <v>354</v>
      </c>
      <c r="C134" s="1">
        <v>46205</v>
      </c>
      <c r="D134" t="s">
        <v>355</v>
      </c>
      <c r="E134" t="s">
        <v>129</v>
      </c>
      <c r="F134" t="s">
        <v>24</v>
      </c>
      <c r="G134">
        <v>22</v>
      </c>
      <c r="H134" t="s">
        <v>25</v>
      </c>
      <c r="I134" t="s">
        <v>26</v>
      </c>
      <c r="J134" t="s">
        <v>104</v>
      </c>
      <c r="K134" t="s">
        <v>68</v>
      </c>
      <c r="L134">
        <v>2</v>
      </c>
      <c r="M134">
        <v>168000</v>
      </c>
      <c r="N134">
        <v>10</v>
      </c>
      <c r="O134">
        <v>302400</v>
      </c>
      <c r="P134">
        <v>17170.939999999999</v>
      </c>
      <c r="Q134" t="s">
        <v>105</v>
      </c>
      <c r="R134" t="s">
        <v>38</v>
      </c>
      <c r="S134" t="s">
        <v>47</v>
      </c>
      <c r="T134" t="s">
        <v>32</v>
      </c>
    </row>
    <row r="135" spans="1:20" x14ac:dyDescent="0.25">
      <c r="A135" t="s">
        <v>20</v>
      </c>
      <c r="B135" t="s">
        <v>356</v>
      </c>
      <c r="C135" s="1">
        <v>46001</v>
      </c>
      <c r="D135" t="s">
        <v>357</v>
      </c>
      <c r="E135" t="s">
        <v>35</v>
      </c>
      <c r="F135" t="s">
        <v>24</v>
      </c>
      <c r="G135">
        <v>38</v>
      </c>
      <c r="H135" t="s">
        <v>25</v>
      </c>
      <c r="I135" t="s">
        <v>26</v>
      </c>
      <c r="J135" t="s">
        <v>104</v>
      </c>
      <c r="K135" t="s">
        <v>68</v>
      </c>
      <c r="L135">
        <v>1</v>
      </c>
      <c r="M135">
        <v>171000</v>
      </c>
      <c r="N135">
        <v>7</v>
      </c>
      <c r="O135">
        <v>159030</v>
      </c>
      <c r="P135">
        <v>23448.19</v>
      </c>
      <c r="Q135" t="s">
        <v>46</v>
      </c>
      <c r="R135" t="s">
        <v>60</v>
      </c>
      <c r="S135" t="s">
        <v>31</v>
      </c>
      <c r="T135" t="s">
        <v>32</v>
      </c>
    </row>
    <row r="136" spans="1:20" x14ac:dyDescent="0.25">
      <c r="A136" t="s">
        <v>20</v>
      </c>
      <c r="B136" t="s">
        <v>358</v>
      </c>
      <c r="C136" s="1">
        <v>45672</v>
      </c>
      <c r="D136" t="s">
        <v>359</v>
      </c>
      <c r="E136" t="s">
        <v>72</v>
      </c>
      <c r="F136" t="s">
        <v>55</v>
      </c>
      <c r="G136">
        <v>41</v>
      </c>
      <c r="H136" t="s">
        <v>73</v>
      </c>
      <c r="I136" t="s">
        <v>26</v>
      </c>
      <c r="J136" t="s">
        <v>64</v>
      </c>
      <c r="K136" t="s">
        <v>68</v>
      </c>
      <c r="L136">
        <v>1</v>
      </c>
      <c r="M136">
        <v>127000</v>
      </c>
      <c r="N136">
        <v>3</v>
      </c>
      <c r="O136">
        <v>123190</v>
      </c>
      <c r="P136">
        <v>13178.56</v>
      </c>
      <c r="Q136" t="s">
        <v>59</v>
      </c>
      <c r="R136" t="s">
        <v>38</v>
      </c>
      <c r="S136" t="s">
        <v>87</v>
      </c>
      <c r="T136" t="s">
        <v>40</v>
      </c>
    </row>
    <row r="137" spans="1:20" x14ac:dyDescent="0.25">
      <c r="A137" t="s">
        <v>20</v>
      </c>
      <c r="B137" t="s">
        <v>360</v>
      </c>
      <c r="C137" s="1">
        <v>45912</v>
      </c>
      <c r="D137" t="s">
        <v>361</v>
      </c>
      <c r="E137" t="s">
        <v>72</v>
      </c>
      <c r="F137" t="s">
        <v>24</v>
      </c>
      <c r="G137">
        <v>20</v>
      </c>
      <c r="H137" t="s">
        <v>95</v>
      </c>
      <c r="I137" t="s">
        <v>26</v>
      </c>
      <c r="J137" t="s">
        <v>27</v>
      </c>
      <c r="K137" t="s">
        <v>68</v>
      </c>
      <c r="L137">
        <v>1</v>
      </c>
      <c r="M137">
        <v>94000</v>
      </c>
      <c r="N137">
        <v>2</v>
      </c>
      <c r="O137">
        <v>92120</v>
      </c>
      <c r="P137">
        <v>13414.32</v>
      </c>
      <c r="Q137" t="s">
        <v>46</v>
      </c>
      <c r="R137" t="s">
        <v>60</v>
      </c>
      <c r="S137" t="s">
        <v>39</v>
      </c>
      <c r="T137" t="s">
        <v>40</v>
      </c>
    </row>
    <row r="138" spans="1:20" x14ac:dyDescent="0.25">
      <c r="A138" t="s">
        <v>20</v>
      </c>
      <c r="B138" t="s">
        <v>362</v>
      </c>
      <c r="C138" s="1">
        <v>45779</v>
      </c>
      <c r="D138" t="s">
        <v>363</v>
      </c>
      <c r="E138" t="s">
        <v>72</v>
      </c>
      <c r="F138" t="s">
        <v>55</v>
      </c>
      <c r="G138">
        <v>49</v>
      </c>
      <c r="H138" t="s">
        <v>25</v>
      </c>
      <c r="I138" t="s">
        <v>26</v>
      </c>
      <c r="J138" t="s">
        <v>81</v>
      </c>
      <c r="K138" t="s">
        <v>58</v>
      </c>
      <c r="L138">
        <v>1</v>
      </c>
      <c r="M138">
        <v>235000</v>
      </c>
      <c r="N138">
        <v>10</v>
      </c>
      <c r="O138">
        <v>211500</v>
      </c>
      <c r="P138">
        <v>21536.27</v>
      </c>
      <c r="Q138" t="s">
        <v>74</v>
      </c>
      <c r="R138" t="s">
        <v>30</v>
      </c>
      <c r="S138" t="s">
        <v>61</v>
      </c>
      <c r="T138" t="s">
        <v>40</v>
      </c>
    </row>
    <row r="139" spans="1:20" x14ac:dyDescent="0.25">
      <c r="A139" t="s">
        <v>20</v>
      </c>
      <c r="B139" t="s">
        <v>364</v>
      </c>
      <c r="C139" s="1">
        <v>46278</v>
      </c>
      <c r="D139" t="s">
        <v>365</v>
      </c>
      <c r="E139" t="s">
        <v>94</v>
      </c>
      <c r="F139" t="s">
        <v>24</v>
      </c>
      <c r="G139">
        <v>43</v>
      </c>
      <c r="H139" t="s">
        <v>44</v>
      </c>
      <c r="I139" t="s">
        <v>26</v>
      </c>
      <c r="J139" t="s">
        <v>64</v>
      </c>
      <c r="K139" t="s">
        <v>68</v>
      </c>
      <c r="L139">
        <v>1</v>
      </c>
      <c r="M139">
        <v>124000</v>
      </c>
      <c r="N139">
        <v>5</v>
      </c>
      <c r="O139">
        <v>117800</v>
      </c>
      <c r="P139">
        <v>18800.599999999999</v>
      </c>
      <c r="Q139" t="s">
        <v>52</v>
      </c>
      <c r="R139" t="s">
        <v>30</v>
      </c>
      <c r="S139" t="s">
        <v>87</v>
      </c>
      <c r="T139" t="s">
        <v>40</v>
      </c>
    </row>
    <row r="140" spans="1:20" x14ac:dyDescent="0.25">
      <c r="A140" t="s">
        <v>20</v>
      </c>
      <c r="B140" t="s">
        <v>366</v>
      </c>
      <c r="C140" s="1">
        <v>46218</v>
      </c>
      <c r="D140" t="s">
        <v>367</v>
      </c>
      <c r="E140" t="s">
        <v>50</v>
      </c>
      <c r="F140" t="s">
        <v>55</v>
      </c>
      <c r="G140">
        <v>52</v>
      </c>
      <c r="H140" t="s">
        <v>56</v>
      </c>
      <c r="I140" t="s">
        <v>26</v>
      </c>
      <c r="J140" t="s">
        <v>36</v>
      </c>
      <c r="K140" t="s">
        <v>68</v>
      </c>
      <c r="L140">
        <v>1</v>
      </c>
      <c r="M140">
        <v>116000</v>
      </c>
      <c r="N140">
        <v>0</v>
      </c>
      <c r="O140">
        <v>116000</v>
      </c>
      <c r="P140">
        <v>24660.33</v>
      </c>
      <c r="Q140" t="s">
        <v>86</v>
      </c>
      <c r="R140" t="s">
        <v>38</v>
      </c>
      <c r="S140" t="s">
        <v>69</v>
      </c>
      <c r="T140" t="s">
        <v>32</v>
      </c>
    </row>
    <row r="141" spans="1:20" x14ac:dyDescent="0.25">
      <c r="A141" t="s">
        <v>20</v>
      </c>
      <c r="B141" t="s">
        <v>368</v>
      </c>
      <c r="C141" s="1">
        <v>46122</v>
      </c>
      <c r="D141" t="s">
        <v>369</v>
      </c>
      <c r="E141" t="s">
        <v>94</v>
      </c>
      <c r="F141" t="s">
        <v>24</v>
      </c>
      <c r="G141">
        <v>28</v>
      </c>
      <c r="H141" t="s">
        <v>85</v>
      </c>
      <c r="I141" t="s">
        <v>26</v>
      </c>
      <c r="J141" t="s">
        <v>81</v>
      </c>
      <c r="K141" t="s">
        <v>28</v>
      </c>
      <c r="L141">
        <v>1</v>
      </c>
      <c r="M141">
        <v>236000</v>
      </c>
      <c r="N141">
        <v>5</v>
      </c>
      <c r="O141">
        <v>224200</v>
      </c>
      <c r="P141">
        <v>17217.84</v>
      </c>
      <c r="Q141" t="s">
        <v>105</v>
      </c>
      <c r="R141" t="s">
        <v>60</v>
      </c>
      <c r="S141" t="s">
        <v>61</v>
      </c>
      <c r="T141" t="s">
        <v>32</v>
      </c>
    </row>
    <row r="142" spans="1:20" x14ac:dyDescent="0.25">
      <c r="A142" t="s">
        <v>20</v>
      </c>
      <c r="B142" t="s">
        <v>370</v>
      </c>
      <c r="C142" s="1">
        <v>45704</v>
      </c>
      <c r="D142" t="s">
        <v>371</v>
      </c>
      <c r="E142" t="s">
        <v>43</v>
      </c>
      <c r="F142" t="s">
        <v>55</v>
      </c>
      <c r="G142">
        <v>47</v>
      </c>
      <c r="H142" t="s">
        <v>51</v>
      </c>
      <c r="I142" t="s">
        <v>26</v>
      </c>
      <c r="J142" t="s">
        <v>77</v>
      </c>
      <c r="K142" t="s">
        <v>28</v>
      </c>
      <c r="L142">
        <v>1</v>
      </c>
      <c r="M142">
        <v>197000</v>
      </c>
      <c r="N142">
        <v>2</v>
      </c>
      <c r="O142">
        <v>193060</v>
      </c>
      <c r="P142">
        <v>25728.720000000001</v>
      </c>
      <c r="Q142" t="s">
        <v>82</v>
      </c>
      <c r="R142" t="s">
        <v>38</v>
      </c>
      <c r="S142" t="s">
        <v>69</v>
      </c>
      <c r="T142" t="s">
        <v>40</v>
      </c>
    </row>
    <row r="143" spans="1:20" x14ac:dyDescent="0.25">
      <c r="A143" t="s">
        <v>20</v>
      </c>
      <c r="B143" t="s">
        <v>372</v>
      </c>
      <c r="C143" s="1">
        <v>46088</v>
      </c>
      <c r="D143" t="s">
        <v>373</v>
      </c>
      <c r="E143" t="s">
        <v>374</v>
      </c>
      <c r="F143" t="s">
        <v>24</v>
      </c>
      <c r="G143">
        <v>43</v>
      </c>
      <c r="H143" t="s">
        <v>73</v>
      </c>
      <c r="I143" t="s">
        <v>26</v>
      </c>
      <c r="J143" t="s">
        <v>77</v>
      </c>
      <c r="K143" t="s">
        <v>58</v>
      </c>
      <c r="L143">
        <v>1</v>
      </c>
      <c r="M143">
        <v>197000</v>
      </c>
      <c r="N143">
        <v>10</v>
      </c>
      <c r="O143">
        <v>177300</v>
      </c>
      <c r="P143">
        <v>8371.3799999999992</v>
      </c>
      <c r="Q143" t="s">
        <v>59</v>
      </c>
      <c r="R143" t="s">
        <v>30</v>
      </c>
      <c r="S143" t="s">
        <v>61</v>
      </c>
      <c r="T143" t="s">
        <v>32</v>
      </c>
    </row>
    <row r="144" spans="1:20" x14ac:dyDescent="0.25">
      <c r="A144" t="s">
        <v>20</v>
      </c>
      <c r="B144" t="s">
        <v>375</v>
      </c>
      <c r="C144" s="1">
        <v>45886</v>
      </c>
      <c r="D144" t="s">
        <v>376</v>
      </c>
      <c r="E144" t="s">
        <v>80</v>
      </c>
      <c r="F144" t="s">
        <v>24</v>
      </c>
      <c r="G144">
        <v>75</v>
      </c>
      <c r="H144" t="s">
        <v>108</v>
      </c>
      <c r="I144" t="s">
        <v>26</v>
      </c>
      <c r="J144" t="s">
        <v>64</v>
      </c>
      <c r="K144" t="s">
        <v>58</v>
      </c>
      <c r="L144">
        <v>1</v>
      </c>
      <c r="M144">
        <v>126000</v>
      </c>
      <c r="N144">
        <v>5</v>
      </c>
      <c r="O144">
        <v>119700</v>
      </c>
      <c r="P144">
        <v>13423.9</v>
      </c>
      <c r="Q144" t="s">
        <v>59</v>
      </c>
      <c r="R144" t="s">
        <v>38</v>
      </c>
      <c r="S144" t="s">
        <v>31</v>
      </c>
      <c r="T144" t="s">
        <v>32</v>
      </c>
    </row>
    <row r="145" spans="1:20" x14ac:dyDescent="0.25">
      <c r="A145" t="s">
        <v>20</v>
      </c>
      <c r="B145" t="s">
        <v>377</v>
      </c>
      <c r="C145" s="1">
        <v>45690</v>
      </c>
      <c r="D145" t="s">
        <v>378</v>
      </c>
      <c r="E145" t="s">
        <v>379</v>
      </c>
      <c r="F145" t="s">
        <v>55</v>
      </c>
      <c r="G145">
        <v>46</v>
      </c>
      <c r="H145" t="s">
        <v>56</v>
      </c>
      <c r="I145" t="s">
        <v>26</v>
      </c>
      <c r="J145" t="s">
        <v>57</v>
      </c>
      <c r="K145" t="s">
        <v>68</v>
      </c>
      <c r="L145">
        <v>1</v>
      </c>
      <c r="M145">
        <v>174000</v>
      </c>
      <c r="N145">
        <v>10</v>
      </c>
      <c r="O145">
        <v>156600</v>
      </c>
      <c r="P145">
        <v>4896.57</v>
      </c>
      <c r="Q145" t="s">
        <v>380</v>
      </c>
      <c r="R145" t="s">
        <v>30</v>
      </c>
      <c r="S145" t="s">
        <v>87</v>
      </c>
      <c r="T145" t="s">
        <v>32</v>
      </c>
    </row>
    <row r="146" spans="1:20" x14ac:dyDescent="0.25">
      <c r="A146" t="s">
        <v>20</v>
      </c>
      <c r="B146" t="s">
        <v>381</v>
      </c>
      <c r="C146" s="1">
        <v>46210</v>
      </c>
      <c r="D146" t="s">
        <v>382</v>
      </c>
      <c r="E146" t="s">
        <v>80</v>
      </c>
      <c r="F146" t="s">
        <v>55</v>
      </c>
      <c r="G146">
        <v>33</v>
      </c>
      <c r="H146" t="s">
        <v>25</v>
      </c>
      <c r="I146" t="s">
        <v>26</v>
      </c>
      <c r="J146" t="s">
        <v>57</v>
      </c>
      <c r="K146" t="s">
        <v>101</v>
      </c>
      <c r="L146">
        <v>1</v>
      </c>
      <c r="M146">
        <v>173000</v>
      </c>
      <c r="N146">
        <v>5</v>
      </c>
      <c r="O146">
        <v>164350</v>
      </c>
      <c r="P146">
        <v>20297.13</v>
      </c>
      <c r="Q146" t="s">
        <v>52</v>
      </c>
      <c r="R146" t="s">
        <v>60</v>
      </c>
      <c r="S146" t="s">
        <v>87</v>
      </c>
      <c r="T146" t="s">
        <v>40</v>
      </c>
    </row>
    <row r="147" spans="1:20" x14ac:dyDescent="0.25">
      <c r="A147" t="s">
        <v>20</v>
      </c>
      <c r="B147" t="s">
        <v>383</v>
      </c>
      <c r="C147" s="1">
        <v>45965</v>
      </c>
      <c r="D147" t="s">
        <v>384</v>
      </c>
      <c r="E147" t="s">
        <v>80</v>
      </c>
      <c r="F147" t="s">
        <v>55</v>
      </c>
      <c r="G147">
        <v>37</v>
      </c>
      <c r="H147" t="s">
        <v>51</v>
      </c>
      <c r="I147" t="s">
        <v>26</v>
      </c>
      <c r="J147" t="s">
        <v>121</v>
      </c>
      <c r="K147" t="s">
        <v>58</v>
      </c>
      <c r="L147">
        <v>2</v>
      </c>
      <c r="M147">
        <v>127000</v>
      </c>
      <c r="N147">
        <v>7</v>
      </c>
      <c r="O147">
        <v>236220</v>
      </c>
      <c r="P147">
        <v>31362.62</v>
      </c>
      <c r="Q147" t="s">
        <v>46</v>
      </c>
      <c r="R147" t="s">
        <v>30</v>
      </c>
      <c r="S147" t="s">
        <v>39</v>
      </c>
      <c r="T147" t="s">
        <v>40</v>
      </c>
    </row>
    <row r="148" spans="1:20" x14ac:dyDescent="0.25">
      <c r="A148" t="s">
        <v>20</v>
      </c>
      <c r="B148" t="s">
        <v>385</v>
      </c>
      <c r="C148" s="1">
        <v>45846</v>
      </c>
      <c r="D148" t="s">
        <v>386</v>
      </c>
      <c r="E148" t="s">
        <v>35</v>
      </c>
      <c r="F148" t="s">
        <v>55</v>
      </c>
      <c r="G148">
        <v>54</v>
      </c>
      <c r="H148" t="s">
        <v>56</v>
      </c>
      <c r="I148" t="s">
        <v>26</v>
      </c>
      <c r="J148" t="s">
        <v>36</v>
      </c>
      <c r="K148" t="s">
        <v>68</v>
      </c>
      <c r="L148">
        <v>1</v>
      </c>
      <c r="M148">
        <v>115000</v>
      </c>
      <c r="N148">
        <v>2</v>
      </c>
      <c r="O148">
        <v>112700</v>
      </c>
      <c r="P148">
        <v>18861.54</v>
      </c>
      <c r="Q148" t="s">
        <v>74</v>
      </c>
      <c r="R148" t="s">
        <v>96</v>
      </c>
      <c r="S148" t="s">
        <v>47</v>
      </c>
      <c r="T148" t="s">
        <v>32</v>
      </c>
    </row>
    <row r="149" spans="1:20" x14ac:dyDescent="0.25">
      <c r="A149" t="s">
        <v>20</v>
      </c>
      <c r="B149" t="s">
        <v>387</v>
      </c>
      <c r="C149" s="1">
        <v>45906</v>
      </c>
      <c r="D149" t="s">
        <v>388</v>
      </c>
      <c r="E149" t="s">
        <v>50</v>
      </c>
      <c r="F149" t="s">
        <v>24</v>
      </c>
      <c r="G149">
        <v>36</v>
      </c>
      <c r="H149" t="s">
        <v>95</v>
      </c>
      <c r="I149" t="s">
        <v>26</v>
      </c>
      <c r="J149" t="s">
        <v>36</v>
      </c>
      <c r="K149" t="s">
        <v>28</v>
      </c>
      <c r="L149">
        <v>2</v>
      </c>
      <c r="M149">
        <v>116000</v>
      </c>
      <c r="N149">
        <v>7</v>
      </c>
      <c r="O149">
        <v>215760</v>
      </c>
      <c r="P149">
        <v>31066.86</v>
      </c>
      <c r="Q149" t="s">
        <v>105</v>
      </c>
      <c r="R149" t="s">
        <v>60</v>
      </c>
      <c r="S149" t="s">
        <v>69</v>
      </c>
      <c r="T149" t="s">
        <v>32</v>
      </c>
    </row>
    <row r="150" spans="1:20" x14ac:dyDescent="0.25">
      <c r="A150" t="s">
        <v>20</v>
      </c>
      <c r="B150" t="s">
        <v>389</v>
      </c>
      <c r="C150" s="1">
        <v>45732</v>
      </c>
      <c r="D150" t="s">
        <v>390</v>
      </c>
      <c r="E150" t="s">
        <v>50</v>
      </c>
      <c r="F150" t="s">
        <v>24</v>
      </c>
      <c r="G150">
        <v>32</v>
      </c>
      <c r="H150" t="s">
        <v>51</v>
      </c>
      <c r="I150" t="s">
        <v>26</v>
      </c>
      <c r="J150" t="s">
        <v>118</v>
      </c>
      <c r="K150" t="s">
        <v>68</v>
      </c>
      <c r="L150">
        <v>1</v>
      </c>
      <c r="M150">
        <v>86000</v>
      </c>
      <c r="N150">
        <v>7</v>
      </c>
      <c r="O150">
        <v>79980</v>
      </c>
      <c r="P150">
        <v>12491.87</v>
      </c>
      <c r="Q150" t="s">
        <v>86</v>
      </c>
      <c r="R150" t="s">
        <v>60</v>
      </c>
      <c r="S150" t="s">
        <v>69</v>
      </c>
      <c r="T150" t="s">
        <v>32</v>
      </c>
    </row>
    <row r="151" spans="1:20" x14ac:dyDescent="0.25">
      <c r="A151" t="s">
        <v>20</v>
      </c>
      <c r="B151" t="s">
        <v>391</v>
      </c>
      <c r="C151" s="1">
        <v>45867</v>
      </c>
      <c r="D151" t="s">
        <v>392</v>
      </c>
      <c r="E151" t="s">
        <v>50</v>
      </c>
      <c r="F151" t="s">
        <v>24</v>
      </c>
      <c r="G151">
        <v>45</v>
      </c>
      <c r="H151" t="s">
        <v>108</v>
      </c>
      <c r="I151" t="s">
        <v>26</v>
      </c>
      <c r="J151" t="s">
        <v>121</v>
      </c>
      <c r="K151" t="s">
        <v>101</v>
      </c>
      <c r="L151">
        <v>1</v>
      </c>
      <c r="M151">
        <v>125000</v>
      </c>
      <c r="N151">
        <v>2</v>
      </c>
      <c r="O151">
        <v>122500</v>
      </c>
      <c r="P151">
        <v>14565.61</v>
      </c>
      <c r="Q151" t="s">
        <v>59</v>
      </c>
      <c r="R151" t="s">
        <v>38</v>
      </c>
      <c r="S151" t="s">
        <v>87</v>
      </c>
      <c r="T151" t="s">
        <v>40</v>
      </c>
    </row>
    <row r="152" spans="1:20" x14ac:dyDescent="0.25">
      <c r="A152" t="s">
        <v>20</v>
      </c>
      <c r="B152" t="s">
        <v>393</v>
      </c>
      <c r="C152" s="1">
        <v>46138</v>
      </c>
      <c r="D152" t="s">
        <v>394</v>
      </c>
      <c r="E152" t="s">
        <v>50</v>
      </c>
      <c r="F152" t="s">
        <v>24</v>
      </c>
      <c r="G152">
        <v>40</v>
      </c>
      <c r="H152" t="s">
        <v>51</v>
      </c>
      <c r="I152" t="s">
        <v>26</v>
      </c>
      <c r="J152" t="s">
        <v>104</v>
      </c>
      <c r="K152" t="s">
        <v>101</v>
      </c>
      <c r="L152">
        <v>1</v>
      </c>
      <c r="M152">
        <v>170000</v>
      </c>
      <c r="N152">
        <v>5</v>
      </c>
      <c r="O152">
        <v>161500</v>
      </c>
      <c r="P152">
        <v>26888.39</v>
      </c>
      <c r="Q152" t="s">
        <v>59</v>
      </c>
      <c r="R152" t="s">
        <v>30</v>
      </c>
      <c r="S152" t="s">
        <v>87</v>
      </c>
      <c r="T152" t="s">
        <v>32</v>
      </c>
    </row>
    <row r="153" spans="1:20" x14ac:dyDescent="0.25">
      <c r="A153" t="s">
        <v>20</v>
      </c>
      <c r="B153" t="s">
        <v>395</v>
      </c>
      <c r="C153" s="1">
        <v>45960</v>
      </c>
      <c r="D153" t="s">
        <v>396</v>
      </c>
      <c r="E153" t="s">
        <v>50</v>
      </c>
      <c r="F153" t="s">
        <v>24</v>
      </c>
      <c r="G153">
        <v>29</v>
      </c>
      <c r="H153" t="s">
        <v>25</v>
      </c>
      <c r="I153" t="s">
        <v>26</v>
      </c>
      <c r="J153" t="s">
        <v>45</v>
      </c>
      <c r="K153" t="s">
        <v>68</v>
      </c>
      <c r="L153">
        <v>1</v>
      </c>
      <c r="M153">
        <v>99000</v>
      </c>
      <c r="N153">
        <v>0</v>
      </c>
      <c r="O153">
        <v>92070</v>
      </c>
      <c r="P153">
        <v>6296.26</v>
      </c>
      <c r="Q153" t="s">
        <v>59</v>
      </c>
      <c r="R153" t="s">
        <v>96</v>
      </c>
      <c r="S153" t="s">
        <v>47</v>
      </c>
      <c r="T153" t="s">
        <v>40</v>
      </c>
    </row>
    <row r="154" spans="1:20" x14ac:dyDescent="0.25">
      <c r="A154" t="s">
        <v>20</v>
      </c>
      <c r="B154" t="s">
        <v>397</v>
      </c>
      <c r="C154" s="1">
        <v>45830</v>
      </c>
      <c r="D154" t="s">
        <v>398</v>
      </c>
      <c r="E154" t="s">
        <v>129</v>
      </c>
      <c r="F154" t="s">
        <v>55</v>
      </c>
      <c r="G154">
        <v>42</v>
      </c>
      <c r="H154" t="s">
        <v>85</v>
      </c>
      <c r="I154" t="s">
        <v>26</v>
      </c>
      <c r="J154" t="s">
        <v>104</v>
      </c>
      <c r="K154" t="s">
        <v>58</v>
      </c>
      <c r="L154">
        <v>2</v>
      </c>
      <c r="M154">
        <v>172000</v>
      </c>
      <c r="N154">
        <v>10</v>
      </c>
      <c r="O154">
        <v>309600</v>
      </c>
      <c r="P154">
        <v>21028.21</v>
      </c>
      <c r="Q154" t="s">
        <v>37</v>
      </c>
      <c r="R154" t="s">
        <v>30</v>
      </c>
      <c r="S154" t="s">
        <v>87</v>
      </c>
      <c r="T154" t="s">
        <v>32</v>
      </c>
    </row>
    <row r="155" spans="1:20" x14ac:dyDescent="0.25">
      <c r="A155" t="s">
        <v>20</v>
      </c>
      <c r="B155" t="s">
        <v>399</v>
      </c>
      <c r="C155" s="1">
        <v>45894</v>
      </c>
      <c r="D155" t="s">
        <v>400</v>
      </c>
      <c r="E155" t="s">
        <v>129</v>
      </c>
      <c r="F155" t="s">
        <v>55</v>
      </c>
      <c r="G155">
        <v>24</v>
      </c>
      <c r="H155" t="s">
        <v>25</v>
      </c>
      <c r="I155" t="s">
        <v>26</v>
      </c>
      <c r="J155" t="s">
        <v>27</v>
      </c>
      <c r="K155" t="s">
        <v>68</v>
      </c>
      <c r="L155">
        <v>1</v>
      </c>
      <c r="M155">
        <v>95000</v>
      </c>
      <c r="N155">
        <v>2</v>
      </c>
      <c r="O155">
        <v>93100</v>
      </c>
      <c r="P155">
        <v>9394.99</v>
      </c>
      <c r="Q155" t="s">
        <v>46</v>
      </c>
      <c r="R155" t="s">
        <v>60</v>
      </c>
      <c r="S155" t="s">
        <v>69</v>
      </c>
      <c r="T155" t="s">
        <v>40</v>
      </c>
    </row>
    <row r="156" spans="1:20" x14ac:dyDescent="0.25">
      <c r="A156" t="s">
        <v>20</v>
      </c>
      <c r="B156" t="s">
        <v>401</v>
      </c>
      <c r="C156" s="1">
        <v>46200</v>
      </c>
      <c r="D156" t="s">
        <v>402</v>
      </c>
      <c r="E156" t="s">
        <v>72</v>
      </c>
      <c r="F156" t="s">
        <v>55</v>
      </c>
      <c r="G156">
        <v>37</v>
      </c>
      <c r="H156" t="s">
        <v>25</v>
      </c>
      <c r="I156" t="s">
        <v>26</v>
      </c>
      <c r="J156" t="s">
        <v>57</v>
      </c>
      <c r="K156" t="s">
        <v>58</v>
      </c>
      <c r="L156">
        <v>1</v>
      </c>
      <c r="M156">
        <v>176000</v>
      </c>
      <c r="N156">
        <v>5</v>
      </c>
      <c r="O156">
        <v>167200</v>
      </c>
      <c r="P156">
        <v>29669.71</v>
      </c>
      <c r="Q156" t="s">
        <v>37</v>
      </c>
      <c r="R156" t="s">
        <v>30</v>
      </c>
      <c r="S156" t="s">
        <v>69</v>
      </c>
      <c r="T156" t="s">
        <v>32</v>
      </c>
    </row>
    <row r="157" spans="1:20" x14ac:dyDescent="0.25">
      <c r="A157" t="s">
        <v>20</v>
      </c>
      <c r="B157" t="s">
        <v>403</v>
      </c>
      <c r="C157" s="1">
        <v>46064</v>
      </c>
      <c r="D157" t="s">
        <v>404</v>
      </c>
      <c r="E157" t="s">
        <v>43</v>
      </c>
      <c r="F157" t="s">
        <v>24</v>
      </c>
      <c r="G157">
        <v>25</v>
      </c>
      <c r="H157" t="s">
        <v>44</v>
      </c>
      <c r="I157" t="s">
        <v>26</v>
      </c>
      <c r="J157" t="s">
        <v>111</v>
      </c>
      <c r="K157" t="s">
        <v>58</v>
      </c>
      <c r="L157">
        <v>1</v>
      </c>
      <c r="M157">
        <v>125000</v>
      </c>
      <c r="N157">
        <v>3</v>
      </c>
      <c r="O157">
        <v>121250</v>
      </c>
      <c r="P157">
        <v>19740.13</v>
      </c>
      <c r="Q157" t="s">
        <v>52</v>
      </c>
      <c r="R157" t="s">
        <v>96</v>
      </c>
      <c r="S157" t="s">
        <v>39</v>
      </c>
      <c r="T157" t="s">
        <v>32</v>
      </c>
    </row>
    <row r="158" spans="1:20" x14ac:dyDescent="0.25">
      <c r="A158" t="s">
        <v>20</v>
      </c>
      <c r="B158" t="s">
        <v>405</v>
      </c>
      <c r="C158" s="1">
        <v>45667</v>
      </c>
      <c r="D158" t="s">
        <v>406</v>
      </c>
      <c r="E158" t="s">
        <v>23</v>
      </c>
      <c r="F158" t="s">
        <v>24</v>
      </c>
      <c r="G158">
        <v>30</v>
      </c>
      <c r="H158" t="s">
        <v>108</v>
      </c>
      <c r="I158" t="s">
        <v>26</v>
      </c>
      <c r="J158" t="s">
        <v>118</v>
      </c>
      <c r="K158" t="s">
        <v>58</v>
      </c>
      <c r="L158">
        <v>1</v>
      </c>
      <c r="M158">
        <v>85000</v>
      </c>
      <c r="N158">
        <v>7</v>
      </c>
      <c r="O158">
        <v>79050</v>
      </c>
      <c r="P158">
        <v>7894.75</v>
      </c>
      <c r="Q158" t="s">
        <v>105</v>
      </c>
      <c r="R158" t="s">
        <v>30</v>
      </c>
      <c r="S158" t="s">
        <v>87</v>
      </c>
      <c r="T158" t="s">
        <v>32</v>
      </c>
    </row>
    <row r="159" spans="1:20" x14ac:dyDescent="0.25">
      <c r="A159" t="s">
        <v>20</v>
      </c>
      <c r="B159" t="s">
        <v>407</v>
      </c>
      <c r="C159" s="1">
        <v>45705</v>
      </c>
      <c r="D159" t="s">
        <v>408</v>
      </c>
      <c r="E159" t="s">
        <v>72</v>
      </c>
      <c r="F159" t="s">
        <v>55</v>
      </c>
      <c r="G159">
        <v>24</v>
      </c>
      <c r="H159" t="s">
        <v>44</v>
      </c>
      <c r="I159" t="s">
        <v>26</v>
      </c>
      <c r="J159" t="s">
        <v>111</v>
      </c>
      <c r="K159" t="s">
        <v>68</v>
      </c>
      <c r="L159">
        <v>2</v>
      </c>
      <c r="M159">
        <v>127000</v>
      </c>
      <c r="N159">
        <v>7</v>
      </c>
      <c r="O159">
        <v>236220</v>
      </c>
      <c r="P159">
        <v>23606.75</v>
      </c>
      <c r="Q159" t="s">
        <v>86</v>
      </c>
      <c r="R159" t="s">
        <v>30</v>
      </c>
      <c r="S159" t="s">
        <v>31</v>
      </c>
      <c r="T159" t="s">
        <v>32</v>
      </c>
    </row>
    <row r="160" spans="1:20" x14ac:dyDescent="0.25">
      <c r="A160" t="s">
        <v>20</v>
      </c>
      <c r="B160" t="s">
        <v>409</v>
      </c>
      <c r="C160" s="1">
        <v>46056</v>
      </c>
      <c r="D160" t="s">
        <v>410</v>
      </c>
      <c r="E160" t="s">
        <v>43</v>
      </c>
      <c r="F160" t="s">
        <v>24</v>
      </c>
      <c r="G160">
        <v>54</v>
      </c>
      <c r="H160" t="s">
        <v>108</v>
      </c>
      <c r="I160" t="s">
        <v>26</v>
      </c>
      <c r="J160" t="s">
        <v>77</v>
      </c>
      <c r="K160" t="s">
        <v>68</v>
      </c>
      <c r="L160">
        <v>1</v>
      </c>
      <c r="M160">
        <v>196000</v>
      </c>
      <c r="N160">
        <v>2</v>
      </c>
      <c r="O160">
        <v>192080</v>
      </c>
      <c r="P160">
        <v>25871.31</v>
      </c>
      <c r="Q160" t="s">
        <v>105</v>
      </c>
      <c r="R160" t="s">
        <v>60</v>
      </c>
      <c r="S160" t="s">
        <v>69</v>
      </c>
      <c r="T160" t="s">
        <v>32</v>
      </c>
    </row>
    <row r="161" spans="1:20" x14ac:dyDescent="0.25">
      <c r="A161" t="s">
        <v>20</v>
      </c>
      <c r="B161" t="s">
        <v>411</v>
      </c>
      <c r="C161" s="1">
        <v>46267</v>
      </c>
      <c r="D161" t="s">
        <v>412</v>
      </c>
      <c r="E161" t="s">
        <v>43</v>
      </c>
      <c r="F161" t="s">
        <v>55</v>
      </c>
      <c r="G161">
        <v>45</v>
      </c>
      <c r="H161" t="s">
        <v>44</v>
      </c>
      <c r="I161" t="s">
        <v>26</v>
      </c>
      <c r="J161" t="s">
        <v>77</v>
      </c>
      <c r="K161" t="s">
        <v>101</v>
      </c>
      <c r="L161">
        <v>1</v>
      </c>
      <c r="M161">
        <v>195000</v>
      </c>
      <c r="N161">
        <v>7</v>
      </c>
      <c r="O161">
        <v>181350</v>
      </c>
      <c r="P161">
        <v>11255.27</v>
      </c>
      <c r="Q161" t="s">
        <v>46</v>
      </c>
      <c r="R161" t="s">
        <v>38</v>
      </c>
      <c r="S161" t="s">
        <v>31</v>
      </c>
      <c r="T161" t="s">
        <v>40</v>
      </c>
    </row>
    <row r="162" spans="1:20" x14ac:dyDescent="0.25">
      <c r="A162" t="s">
        <v>20</v>
      </c>
      <c r="B162" t="s">
        <v>413</v>
      </c>
      <c r="C162" s="1">
        <v>45745</v>
      </c>
      <c r="D162" t="s">
        <v>414</v>
      </c>
      <c r="E162" t="s">
        <v>50</v>
      </c>
      <c r="F162" t="s">
        <v>55</v>
      </c>
      <c r="G162">
        <v>38</v>
      </c>
      <c r="H162" t="s">
        <v>95</v>
      </c>
      <c r="I162" t="s">
        <v>26</v>
      </c>
      <c r="J162" t="s">
        <v>36</v>
      </c>
      <c r="K162" t="s">
        <v>28</v>
      </c>
      <c r="L162">
        <v>1</v>
      </c>
      <c r="M162">
        <v>117000</v>
      </c>
      <c r="N162">
        <v>7</v>
      </c>
      <c r="O162">
        <v>108810</v>
      </c>
      <c r="P162">
        <v>8274.17</v>
      </c>
      <c r="Q162" t="s">
        <v>74</v>
      </c>
      <c r="R162" t="s">
        <v>96</v>
      </c>
      <c r="S162" t="s">
        <v>47</v>
      </c>
      <c r="T162" t="s">
        <v>32</v>
      </c>
    </row>
    <row r="163" spans="1:20" x14ac:dyDescent="0.25">
      <c r="A163" t="s">
        <v>20</v>
      </c>
      <c r="B163" t="s">
        <v>415</v>
      </c>
      <c r="C163" s="1">
        <v>46113</v>
      </c>
      <c r="D163" t="s">
        <v>416</v>
      </c>
      <c r="E163" t="s">
        <v>72</v>
      </c>
      <c r="F163" t="s">
        <v>55</v>
      </c>
      <c r="G163">
        <v>43</v>
      </c>
      <c r="H163" t="s">
        <v>56</v>
      </c>
      <c r="I163" t="s">
        <v>26</v>
      </c>
      <c r="J163" t="s">
        <v>77</v>
      </c>
      <c r="K163" t="s">
        <v>68</v>
      </c>
      <c r="L163">
        <v>1</v>
      </c>
      <c r="M163">
        <v>193000</v>
      </c>
      <c r="N163">
        <v>0</v>
      </c>
      <c r="O163">
        <v>193000</v>
      </c>
      <c r="P163">
        <v>20621.04</v>
      </c>
      <c r="Q163" t="s">
        <v>82</v>
      </c>
      <c r="R163" t="s">
        <v>96</v>
      </c>
      <c r="S163" t="s">
        <v>47</v>
      </c>
      <c r="T163" t="s">
        <v>40</v>
      </c>
    </row>
    <row r="164" spans="1:20" x14ac:dyDescent="0.25">
      <c r="A164" t="s">
        <v>20</v>
      </c>
      <c r="B164" t="s">
        <v>417</v>
      </c>
      <c r="C164" s="1">
        <v>46269</v>
      </c>
      <c r="D164" t="s">
        <v>418</v>
      </c>
      <c r="E164" t="s">
        <v>94</v>
      </c>
      <c r="F164" t="s">
        <v>55</v>
      </c>
      <c r="G164">
        <v>5</v>
      </c>
      <c r="H164" t="s">
        <v>95</v>
      </c>
      <c r="I164" t="s">
        <v>26</v>
      </c>
      <c r="J164" t="s">
        <v>36</v>
      </c>
      <c r="K164" t="s">
        <v>101</v>
      </c>
      <c r="L164">
        <v>1</v>
      </c>
      <c r="M164">
        <v>113000</v>
      </c>
      <c r="N164">
        <v>3</v>
      </c>
      <c r="O164">
        <v>109610</v>
      </c>
      <c r="P164">
        <v>13954.78</v>
      </c>
      <c r="Q164" t="s">
        <v>59</v>
      </c>
      <c r="R164" t="s">
        <v>38</v>
      </c>
      <c r="S164" t="s">
        <v>69</v>
      </c>
      <c r="T164" t="s">
        <v>32</v>
      </c>
    </row>
    <row r="165" spans="1:20" x14ac:dyDescent="0.25">
      <c r="A165" t="s">
        <v>20</v>
      </c>
      <c r="B165" t="s">
        <v>419</v>
      </c>
      <c r="C165" s="1">
        <v>45932</v>
      </c>
      <c r="D165" t="s">
        <v>420</v>
      </c>
      <c r="E165" t="s">
        <v>129</v>
      </c>
      <c r="F165" t="s">
        <v>55</v>
      </c>
      <c r="G165">
        <v>51</v>
      </c>
      <c r="H165" t="s">
        <v>73</v>
      </c>
      <c r="I165" t="s">
        <v>26</v>
      </c>
      <c r="J165" t="s">
        <v>81</v>
      </c>
      <c r="K165" t="s">
        <v>68</v>
      </c>
      <c r="L165">
        <v>1</v>
      </c>
      <c r="M165">
        <v>234000</v>
      </c>
      <c r="N165">
        <v>2</v>
      </c>
      <c r="O165">
        <v>229320</v>
      </c>
      <c r="P165">
        <v>39248.76</v>
      </c>
      <c r="Q165" t="s">
        <v>59</v>
      </c>
      <c r="R165" t="s">
        <v>60</v>
      </c>
      <c r="S165" t="s">
        <v>47</v>
      </c>
      <c r="T165" t="s">
        <v>40</v>
      </c>
    </row>
    <row r="166" spans="1:20" x14ac:dyDescent="0.25">
      <c r="A166" t="s">
        <v>20</v>
      </c>
      <c r="B166" t="s">
        <v>421</v>
      </c>
      <c r="C166" s="1">
        <v>46266</v>
      </c>
      <c r="D166" t="s">
        <v>422</v>
      </c>
      <c r="E166" t="s">
        <v>35</v>
      </c>
      <c r="F166" t="s">
        <v>55</v>
      </c>
      <c r="G166">
        <v>32</v>
      </c>
      <c r="H166" t="s">
        <v>108</v>
      </c>
      <c r="I166" t="s">
        <v>26</v>
      </c>
      <c r="J166" t="s">
        <v>57</v>
      </c>
      <c r="K166" t="s">
        <v>68</v>
      </c>
      <c r="L166">
        <v>1</v>
      </c>
      <c r="M166">
        <v>174000</v>
      </c>
      <c r="N166">
        <v>10</v>
      </c>
      <c r="O166">
        <v>156600</v>
      </c>
      <c r="P166">
        <v>7829.3</v>
      </c>
      <c r="Q166" t="s">
        <v>74</v>
      </c>
      <c r="R166" t="s">
        <v>30</v>
      </c>
      <c r="S166" t="s">
        <v>47</v>
      </c>
      <c r="T166" t="s">
        <v>40</v>
      </c>
    </row>
    <row r="167" spans="1:20" x14ac:dyDescent="0.25">
      <c r="A167" t="s">
        <v>20</v>
      </c>
      <c r="B167" t="s">
        <v>423</v>
      </c>
      <c r="C167" s="1">
        <v>46266</v>
      </c>
      <c r="D167" t="s">
        <v>424</v>
      </c>
      <c r="E167" t="s">
        <v>72</v>
      </c>
      <c r="F167" t="s">
        <v>24</v>
      </c>
      <c r="G167">
        <v>28</v>
      </c>
      <c r="H167" t="s">
        <v>95</v>
      </c>
      <c r="I167" t="s">
        <v>26</v>
      </c>
      <c r="J167" t="s">
        <v>81</v>
      </c>
      <c r="K167" t="s">
        <v>68</v>
      </c>
      <c r="L167">
        <v>1</v>
      </c>
      <c r="M167">
        <v>235000</v>
      </c>
      <c r="N167">
        <v>5</v>
      </c>
      <c r="O167">
        <v>223250</v>
      </c>
      <c r="P167">
        <v>30510.44</v>
      </c>
      <c r="Q167" t="s">
        <v>46</v>
      </c>
      <c r="R167" t="s">
        <v>126</v>
      </c>
      <c r="S167" t="s">
        <v>31</v>
      </c>
      <c r="T167" t="s">
        <v>40</v>
      </c>
    </row>
    <row r="168" spans="1:20" x14ac:dyDescent="0.25">
      <c r="A168" t="s">
        <v>20</v>
      </c>
      <c r="B168" t="s">
        <v>425</v>
      </c>
      <c r="C168" s="1">
        <v>45906</v>
      </c>
      <c r="D168" t="s">
        <v>426</v>
      </c>
      <c r="E168" t="s">
        <v>94</v>
      </c>
      <c r="F168" t="s">
        <v>24</v>
      </c>
      <c r="G168">
        <v>40</v>
      </c>
      <c r="H168" t="s">
        <v>51</v>
      </c>
      <c r="I168" t="s">
        <v>26</v>
      </c>
      <c r="J168" t="s">
        <v>64</v>
      </c>
      <c r="K168" t="s">
        <v>58</v>
      </c>
      <c r="L168">
        <v>1</v>
      </c>
      <c r="M168">
        <v>127000</v>
      </c>
      <c r="N168">
        <v>5</v>
      </c>
      <c r="O168">
        <v>120650</v>
      </c>
      <c r="P168">
        <v>6841.29</v>
      </c>
      <c r="Q168" t="s">
        <v>86</v>
      </c>
      <c r="R168" t="s">
        <v>30</v>
      </c>
      <c r="S168" t="s">
        <v>87</v>
      </c>
      <c r="T168" t="s">
        <v>32</v>
      </c>
    </row>
    <row r="169" spans="1:20" x14ac:dyDescent="0.25">
      <c r="A169" t="s">
        <v>20</v>
      </c>
      <c r="B169" t="s">
        <v>427</v>
      </c>
      <c r="C169" s="1">
        <v>46130</v>
      </c>
      <c r="D169" t="s">
        <v>428</v>
      </c>
      <c r="E169" t="s">
        <v>35</v>
      </c>
      <c r="F169" t="s">
        <v>24</v>
      </c>
      <c r="G169">
        <v>33</v>
      </c>
      <c r="H169" t="s">
        <v>73</v>
      </c>
      <c r="I169" t="s">
        <v>26</v>
      </c>
      <c r="J169" t="s">
        <v>81</v>
      </c>
      <c r="K169" t="s">
        <v>28</v>
      </c>
      <c r="L169">
        <v>1</v>
      </c>
      <c r="M169">
        <v>236000</v>
      </c>
      <c r="N169">
        <v>0</v>
      </c>
      <c r="O169">
        <v>236000</v>
      </c>
      <c r="P169">
        <v>24930.91</v>
      </c>
      <c r="Q169" t="s">
        <v>59</v>
      </c>
      <c r="R169" t="s">
        <v>38</v>
      </c>
      <c r="S169" t="s">
        <v>31</v>
      </c>
      <c r="T169" t="s">
        <v>40</v>
      </c>
    </row>
    <row r="170" spans="1:20" x14ac:dyDescent="0.25">
      <c r="A170" t="s">
        <v>20</v>
      </c>
      <c r="B170" t="s">
        <v>429</v>
      </c>
      <c r="C170" s="1">
        <v>45733</v>
      </c>
      <c r="D170" t="s">
        <v>430</v>
      </c>
      <c r="E170" t="s">
        <v>35</v>
      </c>
      <c r="F170" t="s">
        <v>24</v>
      </c>
      <c r="G170">
        <v>48</v>
      </c>
      <c r="H170" t="s">
        <v>51</v>
      </c>
      <c r="I170" t="s">
        <v>26</v>
      </c>
      <c r="J170" t="s">
        <v>111</v>
      </c>
      <c r="K170" t="s">
        <v>58</v>
      </c>
      <c r="L170">
        <v>1</v>
      </c>
      <c r="M170">
        <v>127000</v>
      </c>
      <c r="N170">
        <v>5</v>
      </c>
      <c r="O170">
        <v>120650</v>
      </c>
      <c r="P170">
        <v>9564.4699999999993</v>
      </c>
      <c r="Q170" t="s">
        <v>105</v>
      </c>
      <c r="R170" t="s">
        <v>60</v>
      </c>
      <c r="S170" t="s">
        <v>61</v>
      </c>
      <c r="T170" t="s">
        <v>32</v>
      </c>
    </row>
    <row r="171" spans="1:20" x14ac:dyDescent="0.25">
      <c r="A171" t="s">
        <v>20</v>
      </c>
      <c r="B171" t="s">
        <v>431</v>
      </c>
      <c r="C171" s="1">
        <v>45703</v>
      </c>
      <c r="D171" t="s">
        <v>432</v>
      </c>
      <c r="E171" t="s">
        <v>43</v>
      </c>
      <c r="F171" t="s">
        <v>24</v>
      </c>
      <c r="G171">
        <v>45</v>
      </c>
      <c r="H171" t="s">
        <v>44</v>
      </c>
      <c r="I171" t="s">
        <v>26</v>
      </c>
      <c r="J171" t="s">
        <v>27</v>
      </c>
      <c r="K171" t="s">
        <v>28</v>
      </c>
      <c r="L171">
        <v>1</v>
      </c>
      <c r="M171">
        <v>95000</v>
      </c>
      <c r="N171">
        <v>2</v>
      </c>
      <c r="O171">
        <v>93100</v>
      </c>
      <c r="P171">
        <v>11624.2</v>
      </c>
      <c r="Q171" t="s">
        <v>105</v>
      </c>
      <c r="R171" t="s">
        <v>30</v>
      </c>
      <c r="S171" t="s">
        <v>39</v>
      </c>
      <c r="T171" t="s">
        <v>32</v>
      </c>
    </row>
    <row r="172" spans="1:20" x14ac:dyDescent="0.25">
      <c r="A172" t="s">
        <v>20</v>
      </c>
      <c r="B172" t="s">
        <v>433</v>
      </c>
      <c r="C172" s="1">
        <v>46260</v>
      </c>
      <c r="D172" t="s">
        <v>434</v>
      </c>
      <c r="E172" t="s">
        <v>129</v>
      </c>
      <c r="F172" t="s">
        <v>24</v>
      </c>
      <c r="G172">
        <v>52</v>
      </c>
      <c r="H172" t="s">
        <v>44</v>
      </c>
      <c r="I172" t="s">
        <v>26</v>
      </c>
      <c r="J172" t="s">
        <v>36</v>
      </c>
      <c r="K172" t="s">
        <v>28</v>
      </c>
      <c r="L172">
        <v>1</v>
      </c>
      <c r="M172">
        <v>115000</v>
      </c>
      <c r="N172">
        <v>5</v>
      </c>
      <c r="O172">
        <v>109250</v>
      </c>
      <c r="P172">
        <v>8891.68</v>
      </c>
      <c r="Q172" t="s">
        <v>46</v>
      </c>
      <c r="R172" t="s">
        <v>30</v>
      </c>
      <c r="S172" t="s">
        <v>39</v>
      </c>
      <c r="T172" t="s">
        <v>40</v>
      </c>
    </row>
    <row r="173" spans="1:20" x14ac:dyDescent="0.25">
      <c r="A173" t="s">
        <v>20</v>
      </c>
      <c r="B173" t="s">
        <v>435</v>
      </c>
      <c r="C173" s="1">
        <v>46009</v>
      </c>
      <c r="D173" t="s">
        <v>436</v>
      </c>
      <c r="E173" t="s">
        <v>50</v>
      </c>
      <c r="F173" t="s">
        <v>24</v>
      </c>
      <c r="G173">
        <v>49</v>
      </c>
      <c r="H173" t="s">
        <v>108</v>
      </c>
      <c r="I173" t="s">
        <v>26</v>
      </c>
      <c r="J173" t="s">
        <v>27</v>
      </c>
      <c r="K173" t="s">
        <v>101</v>
      </c>
      <c r="L173">
        <v>1</v>
      </c>
      <c r="M173">
        <v>97000</v>
      </c>
      <c r="N173">
        <v>2</v>
      </c>
      <c r="O173">
        <v>95060</v>
      </c>
      <c r="P173">
        <v>15345.45</v>
      </c>
      <c r="Q173" t="s">
        <v>46</v>
      </c>
      <c r="R173" t="s">
        <v>30</v>
      </c>
      <c r="S173" t="s">
        <v>47</v>
      </c>
      <c r="T173" t="s">
        <v>40</v>
      </c>
    </row>
    <row r="174" spans="1:20" x14ac:dyDescent="0.25">
      <c r="A174" t="s">
        <v>20</v>
      </c>
      <c r="B174" t="s">
        <v>437</v>
      </c>
      <c r="C174" s="1">
        <v>46009</v>
      </c>
      <c r="D174" t="s">
        <v>438</v>
      </c>
      <c r="E174" t="s">
        <v>129</v>
      </c>
      <c r="F174" t="s">
        <v>55</v>
      </c>
      <c r="G174">
        <v>26</v>
      </c>
      <c r="H174" t="s">
        <v>108</v>
      </c>
      <c r="I174" t="s">
        <v>26</v>
      </c>
      <c r="J174" t="s">
        <v>64</v>
      </c>
      <c r="K174" t="s">
        <v>68</v>
      </c>
      <c r="L174">
        <v>1</v>
      </c>
      <c r="M174">
        <v>127000</v>
      </c>
      <c r="N174">
        <v>0</v>
      </c>
      <c r="O174">
        <v>127000</v>
      </c>
      <c r="P174">
        <v>27595.8</v>
      </c>
      <c r="Q174" t="s">
        <v>37</v>
      </c>
      <c r="R174" t="s">
        <v>60</v>
      </c>
      <c r="S174" t="s">
        <v>87</v>
      </c>
      <c r="T174" t="s">
        <v>40</v>
      </c>
    </row>
    <row r="175" spans="1:20" x14ac:dyDescent="0.25">
      <c r="A175" t="s">
        <v>20</v>
      </c>
      <c r="B175" t="s">
        <v>439</v>
      </c>
      <c r="C175" s="1">
        <v>46100</v>
      </c>
      <c r="D175" t="s">
        <v>440</v>
      </c>
      <c r="E175" t="s">
        <v>80</v>
      </c>
      <c r="F175" t="s">
        <v>55</v>
      </c>
      <c r="G175">
        <v>45</v>
      </c>
      <c r="H175" t="s">
        <v>44</v>
      </c>
      <c r="I175" t="s">
        <v>26</v>
      </c>
      <c r="J175" t="s">
        <v>57</v>
      </c>
      <c r="K175" t="s">
        <v>58</v>
      </c>
      <c r="L175">
        <v>1</v>
      </c>
      <c r="M175">
        <v>177000</v>
      </c>
      <c r="N175">
        <v>2</v>
      </c>
      <c r="O175">
        <v>173460</v>
      </c>
      <c r="P175">
        <v>31441.14</v>
      </c>
      <c r="Q175" t="s">
        <v>59</v>
      </c>
      <c r="R175" t="s">
        <v>38</v>
      </c>
      <c r="S175" t="s">
        <v>69</v>
      </c>
      <c r="T175" t="s">
        <v>32</v>
      </c>
    </row>
    <row r="176" spans="1:20" x14ac:dyDescent="0.25">
      <c r="A176" t="s">
        <v>20</v>
      </c>
      <c r="B176" t="s">
        <v>441</v>
      </c>
      <c r="C176" s="1">
        <v>46207</v>
      </c>
      <c r="D176" t="s">
        <v>442</v>
      </c>
      <c r="E176" t="s">
        <v>43</v>
      </c>
      <c r="F176" t="s">
        <v>24</v>
      </c>
      <c r="G176">
        <v>31</v>
      </c>
      <c r="H176" t="s">
        <v>51</v>
      </c>
      <c r="I176" t="s">
        <v>26</v>
      </c>
      <c r="J176" t="s">
        <v>121</v>
      </c>
      <c r="K176" t="s">
        <v>68</v>
      </c>
      <c r="L176">
        <v>1</v>
      </c>
      <c r="M176">
        <v>123000</v>
      </c>
      <c r="N176">
        <v>7</v>
      </c>
      <c r="O176">
        <v>114390</v>
      </c>
      <c r="P176">
        <v>16948.14</v>
      </c>
      <c r="Q176" t="s">
        <v>46</v>
      </c>
      <c r="R176" t="s">
        <v>30</v>
      </c>
      <c r="S176" t="s">
        <v>39</v>
      </c>
      <c r="T176" t="s">
        <v>40</v>
      </c>
    </row>
    <row r="177" spans="1:20" x14ac:dyDescent="0.25">
      <c r="A177" t="s">
        <v>20</v>
      </c>
      <c r="B177" t="s">
        <v>443</v>
      </c>
      <c r="C177" s="1">
        <v>46014</v>
      </c>
      <c r="D177" t="s">
        <v>444</v>
      </c>
      <c r="E177" t="s">
        <v>35</v>
      </c>
      <c r="F177" t="s">
        <v>55</v>
      </c>
      <c r="G177">
        <v>42</v>
      </c>
      <c r="H177" t="s">
        <v>56</v>
      </c>
      <c r="I177" t="s">
        <v>26</v>
      </c>
      <c r="J177" t="s">
        <v>36</v>
      </c>
      <c r="K177" t="s">
        <v>101</v>
      </c>
      <c r="L177">
        <v>1</v>
      </c>
      <c r="M177">
        <v>116000</v>
      </c>
      <c r="N177">
        <v>5</v>
      </c>
      <c r="O177">
        <v>110200</v>
      </c>
      <c r="P177">
        <v>11548.89</v>
      </c>
      <c r="Q177" t="s">
        <v>82</v>
      </c>
      <c r="R177" t="s">
        <v>96</v>
      </c>
      <c r="S177" t="s">
        <v>39</v>
      </c>
      <c r="T177" t="s">
        <v>32</v>
      </c>
    </row>
    <row r="178" spans="1:20" x14ac:dyDescent="0.25">
      <c r="A178" t="s">
        <v>20</v>
      </c>
      <c r="B178" t="s">
        <v>445</v>
      </c>
      <c r="C178" s="1">
        <v>46055</v>
      </c>
      <c r="D178" t="s">
        <v>446</v>
      </c>
      <c r="E178" t="s">
        <v>129</v>
      </c>
      <c r="F178" t="s">
        <v>24</v>
      </c>
      <c r="G178">
        <v>46</v>
      </c>
      <c r="H178" t="s">
        <v>51</v>
      </c>
      <c r="I178" t="s">
        <v>26</v>
      </c>
      <c r="J178" t="s">
        <v>111</v>
      </c>
      <c r="K178" t="s">
        <v>58</v>
      </c>
      <c r="L178">
        <v>1</v>
      </c>
      <c r="M178">
        <v>125000</v>
      </c>
      <c r="N178">
        <v>10</v>
      </c>
      <c r="O178">
        <v>112500</v>
      </c>
      <c r="P178">
        <v>12879.62</v>
      </c>
      <c r="Q178" t="s">
        <v>37</v>
      </c>
      <c r="R178" t="s">
        <v>38</v>
      </c>
      <c r="S178" t="s">
        <v>61</v>
      </c>
      <c r="T178" t="s">
        <v>32</v>
      </c>
    </row>
    <row r="179" spans="1:20" x14ac:dyDescent="0.25">
      <c r="A179" t="s">
        <v>20</v>
      </c>
      <c r="B179" t="s">
        <v>447</v>
      </c>
      <c r="C179" s="1">
        <v>46119</v>
      </c>
      <c r="D179" t="s">
        <v>448</v>
      </c>
      <c r="E179" t="s">
        <v>43</v>
      </c>
      <c r="F179" t="s">
        <v>55</v>
      </c>
      <c r="G179">
        <v>23</v>
      </c>
      <c r="H179" t="s">
        <v>73</v>
      </c>
      <c r="I179" t="s">
        <v>26</v>
      </c>
      <c r="J179" t="s">
        <v>36</v>
      </c>
      <c r="K179" t="s">
        <v>58</v>
      </c>
      <c r="L179">
        <v>1</v>
      </c>
      <c r="M179">
        <v>114000</v>
      </c>
      <c r="N179">
        <v>2</v>
      </c>
      <c r="O179">
        <v>111720</v>
      </c>
      <c r="P179">
        <v>18496.55</v>
      </c>
      <c r="Q179" t="s">
        <v>37</v>
      </c>
      <c r="R179" t="s">
        <v>96</v>
      </c>
      <c r="S179" t="s">
        <v>47</v>
      </c>
      <c r="T179" t="s">
        <v>40</v>
      </c>
    </row>
    <row r="180" spans="1:20" x14ac:dyDescent="0.25">
      <c r="A180" t="s">
        <v>20</v>
      </c>
      <c r="B180" t="s">
        <v>449</v>
      </c>
      <c r="C180" s="1">
        <v>46236</v>
      </c>
      <c r="D180" t="s">
        <v>450</v>
      </c>
      <c r="E180" t="s">
        <v>50</v>
      </c>
      <c r="F180" t="s">
        <v>24</v>
      </c>
      <c r="G180">
        <v>21</v>
      </c>
      <c r="H180" t="s">
        <v>85</v>
      </c>
      <c r="I180" t="s">
        <v>26</v>
      </c>
      <c r="J180" t="s">
        <v>451</v>
      </c>
      <c r="K180" t="s">
        <v>28</v>
      </c>
      <c r="L180">
        <v>1</v>
      </c>
      <c r="M180">
        <v>195000</v>
      </c>
      <c r="N180">
        <v>5</v>
      </c>
      <c r="O180">
        <v>185250</v>
      </c>
      <c r="P180">
        <v>29236.27</v>
      </c>
      <c r="Q180" t="s">
        <v>74</v>
      </c>
      <c r="R180" t="s">
        <v>96</v>
      </c>
      <c r="S180" t="s">
        <v>87</v>
      </c>
      <c r="T180" t="s">
        <v>40</v>
      </c>
    </row>
    <row r="181" spans="1:20" x14ac:dyDescent="0.25">
      <c r="A181" t="s">
        <v>20</v>
      </c>
      <c r="B181" t="s">
        <v>452</v>
      </c>
      <c r="C181" s="1">
        <v>46244</v>
      </c>
      <c r="D181" t="s">
        <v>453</v>
      </c>
      <c r="E181" t="s">
        <v>72</v>
      </c>
      <c r="F181" t="s">
        <v>24</v>
      </c>
      <c r="G181">
        <v>27</v>
      </c>
      <c r="H181" t="s">
        <v>85</v>
      </c>
      <c r="I181" t="s">
        <v>26</v>
      </c>
      <c r="J181" t="s">
        <v>45</v>
      </c>
      <c r="K181" t="s">
        <v>28</v>
      </c>
      <c r="L181">
        <v>1</v>
      </c>
      <c r="M181">
        <v>98000</v>
      </c>
      <c r="N181">
        <v>7</v>
      </c>
      <c r="O181">
        <v>91140</v>
      </c>
      <c r="P181">
        <v>8692.92</v>
      </c>
      <c r="Q181" t="s">
        <v>46</v>
      </c>
      <c r="R181" t="s">
        <v>96</v>
      </c>
      <c r="S181" t="s">
        <v>47</v>
      </c>
      <c r="T181" t="s">
        <v>32</v>
      </c>
    </row>
    <row r="182" spans="1:20" x14ac:dyDescent="0.25">
      <c r="A182" t="s">
        <v>20</v>
      </c>
      <c r="B182" t="s">
        <v>454</v>
      </c>
      <c r="C182" s="1">
        <v>45747</v>
      </c>
      <c r="D182" t="s">
        <v>455</v>
      </c>
      <c r="E182" t="s">
        <v>23</v>
      </c>
      <c r="F182" t="s">
        <v>55</v>
      </c>
      <c r="G182">
        <v>48</v>
      </c>
      <c r="H182" t="s">
        <v>51</v>
      </c>
      <c r="I182" t="s">
        <v>26</v>
      </c>
      <c r="J182" t="s">
        <v>111</v>
      </c>
      <c r="K182" t="s">
        <v>68</v>
      </c>
      <c r="L182">
        <v>2</v>
      </c>
      <c r="M182">
        <v>123000</v>
      </c>
      <c r="N182">
        <v>5</v>
      </c>
      <c r="O182">
        <v>233700</v>
      </c>
      <c r="P182">
        <v>34061.69</v>
      </c>
      <c r="Q182" t="s">
        <v>86</v>
      </c>
      <c r="R182" t="s">
        <v>38</v>
      </c>
      <c r="S182" t="s">
        <v>31</v>
      </c>
      <c r="T182" t="s">
        <v>32</v>
      </c>
    </row>
    <row r="183" spans="1:20" x14ac:dyDescent="0.25">
      <c r="A183" t="s">
        <v>20</v>
      </c>
      <c r="B183" t="s">
        <v>456</v>
      </c>
      <c r="C183" s="1">
        <v>46269</v>
      </c>
      <c r="D183" t="s">
        <v>457</v>
      </c>
      <c r="E183" t="s">
        <v>129</v>
      </c>
      <c r="F183" t="s">
        <v>24</v>
      </c>
      <c r="G183">
        <v>54</v>
      </c>
      <c r="H183" t="s">
        <v>44</v>
      </c>
      <c r="I183" t="s">
        <v>26</v>
      </c>
      <c r="J183" t="s">
        <v>111</v>
      </c>
      <c r="K183" t="s">
        <v>101</v>
      </c>
      <c r="L183">
        <v>1</v>
      </c>
      <c r="M183">
        <v>126000</v>
      </c>
      <c r="N183">
        <v>3</v>
      </c>
      <c r="O183">
        <v>122220</v>
      </c>
      <c r="P183">
        <v>15891.91</v>
      </c>
      <c r="Q183" t="s">
        <v>74</v>
      </c>
      <c r="R183" t="s">
        <v>60</v>
      </c>
      <c r="S183" t="s">
        <v>87</v>
      </c>
      <c r="T183" t="s">
        <v>32</v>
      </c>
    </row>
    <row r="184" spans="1:20" x14ac:dyDescent="0.25">
      <c r="A184" t="s">
        <v>20</v>
      </c>
      <c r="B184" t="s">
        <v>458</v>
      </c>
      <c r="C184" s="1">
        <v>45793</v>
      </c>
      <c r="D184" t="s">
        <v>459</v>
      </c>
      <c r="E184" t="s">
        <v>129</v>
      </c>
      <c r="F184" t="s">
        <v>24</v>
      </c>
      <c r="G184">
        <v>35</v>
      </c>
      <c r="H184" t="s">
        <v>95</v>
      </c>
      <c r="I184" t="s">
        <v>26</v>
      </c>
      <c r="J184" t="s">
        <v>45</v>
      </c>
      <c r="K184" t="s">
        <v>68</v>
      </c>
      <c r="L184">
        <v>2</v>
      </c>
      <c r="M184">
        <v>98000</v>
      </c>
      <c r="N184">
        <v>10</v>
      </c>
      <c r="O184">
        <v>176400</v>
      </c>
      <c r="P184">
        <v>20535.59</v>
      </c>
      <c r="Q184" t="s">
        <v>59</v>
      </c>
      <c r="R184" t="s">
        <v>38</v>
      </c>
      <c r="S184" t="s">
        <v>31</v>
      </c>
      <c r="T184" t="s">
        <v>40</v>
      </c>
    </row>
    <row r="185" spans="1:20" x14ac:dyDescent="0.25">
      <c r="A185" t="s">
        <v>20</v>
      </c>
      <c r="B185" t="s">
        <v>460</v>
      </c>
      <c r="C185" s="1">
        <v>45942</v>
      </c>
      <c r="D185" t="s">
        <v>461</v>
      </c>
      <c r="E185" t="s">
        <v>35</v>
      </c>
      <c r="F185" t="s">
        <v>24</v>
      </c>
      <c r="G185">
        <v>43</v>
      </c>
      <c r="H185" t="s">
        <v>95</v>
      </c>
      <c r="I185" t="s">
        <v>26</v>
      </c>
      <c r="J185" t="s">
        <v>77</v>
      </c>
      <c r="K185" t="s">
        <v>101</v>
      </c>
      <c r="L185">
        <v>1</v>
      </c>
      <c r="M185">
        <v>197000</v>
      </c>
      <c r="N185">
        <v>0</v>
      </c>
      <c r="O185">
        <v>197000</v>
      </c>
      <c r="P185">
        <v>33816.61</v>
      </c>
      <c r="Q185" t="s">
        <v>105</v>
      </c>
      <c r="R185" t="s">
        <v>30</v>
      </c>
      <c r="S185" t="s">
        <v>61</v>
      </c>
      <c r="T185" t="s">
        <v>40</v>
      </c>
    </row>
    <row r="186" spans="1:20" x14ac:dyDescent="0.25">
      <c r="A186" t="s">
        <v>20</v>
      </c>
      <c r="B186" t="s">
        <v>462</v>
      </c>
      <c r="C186" s="1">
        <v>45874</v>
      </c>
      <c r="D186" t="s">
        <v>463</v>
      </c>
      <c r="E186" t="s">
        <v>72</v>
      </c>
      <c r="F186" t="s">
        <v>24</v>
      </c>
      <c r="G186">
        <v>51</v>
      </c>
      <c r="H186" t="s">
        <v>108</v>
      </c>
      <c r="I186" t="s">
        <v>26</v>
      </c>
      <c r="J186" t="s">
        <v>64</v>
      </c>
      <c r="K186" t="s">
        <v>101</v>
      </c>
      <c r="L186">
        <v>1</v>
      </c>
      <c r="M186">
        <v>125000</v>
      </c>
      <c r="N186">
        <v>2</v>
      </c>
      <c r="O186">
        <v>122500</v>
      </c>
      <c r="P186">
        <v>10478.07</v>
      </c>
      <c r="Q186" t="s">
        <v>226</v>
      </c>
      <c r="R186" t="s">
        <v>96</v>
      </c>
      <c r="S186" t="s">
        <v>87</v>
      </c>
      <c r="T186" t="s">
        <v>40</v>
      </c>
    </row>
    <row r="187" spans="1:20" x14ac:dyDescent="0.25">
      <c r="A187" t="s">
        <v>20</v>
      </c>
      <c r="B187" t="s">
        <v>464</v>
      </c>
      <c r="C187" s="1">
        <v>45819</v>
      </c>
      <c r="D187" t="s">
        <v>465</v>
      </c>
      <c r="E187" t="s">
        <v>35</v>
      </c>
      <c r="F187" t="s">
        <v>55</v>
      </c>
      <c r="G187">
        <v>48</v>
      </c>
      <c r="H187" t="s">
        <v>25</v>
      </c>
      <c r="I187" t="s">
        <v>26</v>
      </c>
      <c r="J187" t="s">
        <v>64</v>
      </c>
      <c r="K187" t="s">
        <v>58</v>
      </c>
      <c r="L187">
        <v>1</v>
      </c>
      <c r="M187">
        <v>127000</v>
      </c>
      <c r="N187">
        <v>5</v>
      </c>
      <c r="O187">
        <v>120650</v>
      </c>
      <c r="P187">
        <v>21341.87</v>
      </c>
      <c r="Q187" t="s">
        <v>52</v>
      </c>
      <c r="R187" t="s">
        <v>96</v>
      </c>
      <c r="S187" t="s">
        <v>61</v>
      </c>
      <c r="T187" t="s">
        <v>40</v>
      </c>
    </row>
    <row r="188" spans="1:20" x14ac:dyDescent="0.25">
      <c r="A188" t="s">
        <v>20</v>
      </c>
      <c r="B188" t="s">
        <v>466</v>
      </c>
      <c r="C188" s="1">
        <v>45827</v>
      </c>
      <c r="D188" t="s">
        <v>467</v>
      </c>
      <c r="E188" t="s">
        <v>94</v>
      </c>
      <c r="F188" t="s">
        <v>24</v>
      </c>
      <c r="G188">
        <v>23</v>
      </c>
      <c r="H188" t="s">
        <v>51</v>
      </c>
      <c r="I188" t="s">
        <v>26</v>
      </c>
      <c r="J188" t="s">
        <v>45</v>
      </c>
      <c r="K188" t="s">
        <v>68</v>
      </c>
      <c r="L188">
        <v>1</v>
      </c>
      <c r="M188">
        <v>98000</v>
      </c>
      <c r="N188">
        <v>3</v>
      </c>
      <c r="O188">
        <v>95060</v>
      </c>
      <c r="P188">
        <v>17650.73</v>
      </c>
      <c r="Q188" t="s">
        <v>59</v>
      </c>
      <c r="R188" t="s">
        <v>30</v>
      </c>
      <c r="S188" t="s">
        <v>61</v>
      </c>
      <c r="T188" t="s">
        <v>32</v>
      </c>
    </row>
    <row r="189" spans="1:20" x14ac:dyDescent="0.25">
      <c r="A189" t="s">
        <v>20</v>
      </c>
      <c r="B189" t="s">
        <v>468</v>
      </c>
      <c r="C189" s="1">
        <v>46113</v>
      </c>
      <c r="D189" t="s">
        <v>469</v>
      </c>
      <c r="E189" t="s">
        <v>80</v>
      </c>
      <c r="F189" t="s">
        <v>24</v>
      </c>
      <c r="G189">
        <v>20</v>
      </c>
      <c r="H189" t="s">
        <v>44</v>
      </c>
      <c r="I189" t="s">
        <v>26</v>
      </c>
      <c r="J189" t="s">
        <v>118</v>
      </c>
      <c r="K189" t="s">
        <v>28</v>
      </c>
      <c r="L189">
        <v>1</v>
      </c>
      <c r="M189">
        <v>84000</v>
      </c>
      <c r="N189">
        <v>7</v>
      </c>
      <c r="O189">
        <v>78120</v>
      </c>
      <c r="P189">
        <v>10320</v>
      </c>
      <c r="Q189" t="s">
        <v>59</v>
      </c>
      <c r="R189" t="s">
        <v>96</v>
      </c>
      <c r="S189" t="s">
        <v>47</v>
      </c>
      <c r="T189" t="s">
        <v>32</v>
      </c>
    </row>
    <row r="190" spans="1:20" x14ac:dyDescent="0.25">
      <c r="A190" t="s">
        <v>20</v>
      </c>
      <c r="B190" t="s">
        <v>470</v>
      </c>
      <c r="C190" s="1">
        <v>45964</v>
      </c>
      <c r="D190" t="s">
        <v>471</v>
      </c>
      <c r="E190" t="s">
        <v>94</v>
      </c>
      <c r="F190" t="s">
        <v>55</v>
      </c>
      <c r="G190">
        <v>0</v>
      </c>
      <c r="H190" t="s">
        <v>95</v>
      </c>
      <c r="I190" t="s">
        <v>26</v>
      </c>
      <c r="J190" t="s">
        <v>111</v>
      </c>
      <c r="K190" t="s">
        <v>68</v>
      </c>
      <c r="L190">
        <v>1</v>
      </c>
      <c r="M190">
        <v>123000</v>
      </c>
      <c r="N190">
        <v>0</v>
      </c>
      <c r="O190">
        <v>123000</v>
      </c>
      <c r="P190">
        <v>22434.93</v>
      </c>
      <c r="Q190" t="s">
        <v>82</v>
      </c>
      <c r="R190" t="s">
        <v>30</v>
      </c>
      <c r="S190" t="s">
        <v>87</v>
      </c>
      <c r="T190" t="s">
        <v>32</v>
      </c>
    </row>
    <row r="191" spans="1:20" x14ac:dyDescent="0.25">
      <c r="A191" t="s">
        <v>20</v>
      </c>
      <c r="B191" t="s">
        <v>472</v>
      </c>
      <c r="C191" s="1">
        <v>46079</v>
      </c>
      <c r="D191" t="s">
        <v>473</v>
      </c>
      <c r="E191" t="s">
        <v>50</v>
      </c>
      <c r="F191" t="s">
        <v>55</v>
      </c>
      <c r="G191">
        <v>48</v>
      </c>
      <c r="H191" t="s">
        <v>56</v>
      </c>
      <c r="I191" t="s">
        <v>26</v>
      </c>
      <c r="J191" t="s">
        <v>121</v>
      </c>
      <c r="K191" t="s">
        <v>28</v>
      </c>
      <c r="L191">
        <v>1</v>
      </c>
      <c r="M191">
        <v>177000</v>
      </c>
      <c r="N191">
        <v>10</v>
      </c>
      <c r="O191">
        <v>159300</v>
      </c>
      <c r="P191">
        <v>18024.810000000001</v>
      </c>
      <c r="Q191" t="s">
        <v>37</v>
      </c>
      <c r="R191" t="s">
        <v>30</v>
      </c>
      <c r="S191" t="s">
        <v>87</v>
      </c>
      <c r="T191" t="s">
        <v>40</v>
      </c>
    </row>
    <row r="192" spans="1:20" x14ac:dyDescent="0.25">
      <c r="A192" t="s">
        <v>20</v>
      </c>
      <c r="B192" t="s">
        <v>474</v>
      </c>
      <c r="C192" s="1">
        <v>45744</v>
      </c>
      <c r="D192" t="s">
        <v>475</v>
      </c>
      <c r="E192" t="s">
        <v>72</v>
      </c>
      <c r="F192" t="s">
        <v>55</v>
      </c>
      <c r="G192">
        <v>35</v>
      </c>
      <c r="H192" t="s">
        <v>95</v>
      </c>
      <c r="I192" t="s">
        <v>26</v>
      </c>
      <c r="J192" t="s">
        <v>64</v>
      </c>
      <c r="K192" t="s">
        <v>101</v>
      </c>
      <c r="L192">
        <v>1</v>
      </c>
      <c r="M192">
        <v>124000</v>
      </c>
      <c r="N192">
        <v>2</v>
      </c>
      <c r="O192">
        <v>121520</v>
      </c>
      <c r="P192">
        <v>20678.72</v>
      </c>
      <c r="Q192" t="s">
        <v>52</v>
      </c>
      <c r="R192" t="s">
        <v>96</v>
      </c>
      <c r="S192" t="s">
        <v>61</v>
      </c>
      <c r="T192" t="s">
        <v>40</v>
      </c>
    </row>
    <row r="193" spans="1:20" x14ac:dyDescent="0.25">
      <c r="A193" t="s">
        <v>20</v>
      </c>
      <c r="B193" t="s">
        <v>476</v>
      </c>
      <c r="C193" s="1">
        <v>45904</v>
      </c>
      <c r="D193" t="s">
        <v>477</v>
      </c>
      <c r="E193" t="s">
        <v>23</v>
      </c>
      <c r="F193" t="s">
        <v>55</v>
      </c>
      <c r="G193">
        <v>51</v>
      </c>
      <c r="H193" t="s">
        <v>25</v>
      </c>
      <c r="I193" t="s">
        <v>26</v>
      </c>
      <c r="J193" t="s">
        <v>104</v>
      </c>
      <c r="K193" t="s">
        <v>101</v>
      </c>
      <c r="L193">
        <v>1</v>
      </c>
      <c r="M193">
        <v>169000</v>
      </c>
      <c r="N193">
        <v>5</v>
      </c>
      <c r="O193">
        <v>160550</v>
      </c>
      <c r="P193">
        <v>20904.240000000002</v>
      </c>
      <c r="Q193" t="s">
        <v>86</v>
      </c>
      <c r="R193" t="s">
        <v>96</v>
      </c>
      <c r="S193" t="s">
        <v>47</v>
      </c>
      <c r="T193" t="s">
        <v>40</v>
      </c>
    </row>
    <row r="194" spans="1:20" x14ac:dyDescent="0.25">
      <c r="A194" t="s">
        <v>20</v>
      </c>
      <c r="B194" t="s">
        <v>478</v>
      </c>
      <c r="C194" s="1">
        <v>45672</v>
      </c>
      <c r="D194" t="s">
        <v>479</v>
      </c>
      <c r="E194" t="s">
        <v>50</v>
      </c>
      <c r="F194" t="s">
        <v>55</v>
      </c>
      <c r="G194">
        <v>36</v>
      </c>
      <c r="H194" t="s">
        <v>73</v>
      </c>
      <c r="I194" t="s">
        <v>26</v>
      </c>
      <c r="J194" t="s">
        <v>64</v>
      </c>
      <c r="K194" t="s">
        <v>28</v>
      </c>
      <c r="L194">
        <v>1</v>
      </c>
      <c r="M194">
        <v>123000</v>
      </c>
      <c r="N194">
        <v>0</v>
      </c>
      <c r="O194">
        <v>123000</v>
      </c>
      <c r="P194">
        <v>18390.509999999998</v>
      </c>
      <c r="Q194" t="s">
        <v>59</v>
      </c>
      <c r="R194" t="s">
        <v>60</v>
      </c>
      <c r="S194" t="s">
        <v>61</v>
      </c>
      <c r="T194" t="s">
        <v>40</v>
      </c>
    </row>
    <row r="195" spans="1:20" x14ac:dyDescent="0.25">
      <c r="A195" t="s">
        <v>20</v>
      </c>
      <c r="B195" t="s">
        <v>480</v>
      </c>
      <c r="C195" s="1">
        <v>45942</v>
      </c>
      <c r="D195" t="s">
        <v>481</v>
      </c>
      <c r="E195" t="s">
        <v>72</v>
      </c>
      <c r="F195" t="s">
        <v>55</v>
      </c>
      <c r="G195">
        <v>25</v>
      </c>
      <c r="H195" t="s">
        <v>95</v>
      </c>
      <c r="I195" t="s">
        <v>26</v>
      </c>
      <c r="J195" t="s">
        <v>77</v>
      </c>
      <c r="K195" t="s">
        <v>68</v>
      </c>
      <c r="L195">
        <v>1</v>
      </c>
      <c r="M195">
        <v>196000</v>
      </c>
      <c r="N195">
        <v>7</v>
      </c>
      <c r="O195">
        <v>182280</v>
      </c>
      <c r="P195">
        <v>14910.57</v>
      </c>
      <c r="Q195" t="s">
        <v>37</v>
      </c>
      <c r="R195" t="s">
        <v>60</v>
      </c>
      <c r="S195" t="s">
        <v>47</v>
      </c>
      <c r="T195" t="s">
        <v>32</v>
      </c>
    </row>
    <row r="196" spans="1:20" x14ac:dyDescent="0.25">
      <c r="A196" t="s">
        <v>20</v>
      </c>
      <c r="B196" t="s">
        <v>482</v>
      </c>
      <c r="C196" s="1">
        <v>46102</v>
      </c>
      <c r="D196" t="s">
        <v>483</v>
      </c>
      <c r="E196" t="s">
        <v>35</v>
      </c>
      <c r="F196" t="s">
        <v>55</v>
      </c>
      <c r="G196">
        <v>27</v>
      </c>
      <c r="H196" t="s">
        <v>95</v>
      </c>
      <c r="I196" t="s">
        <v>26</v>
      </c>
      <c r="J196" t="s">
        <v>104</v>
      </c>
      <c r="K196" t="s">
        <v>101</v>
      </c>
      <c r="L196">
        <v>1</v>
      </c>
      <c r="M196">
        <v>169000</v>
      </c>
      <c r="N196">
        <v>0</v>
      </c>
      <c r="O196">
        <v>169000</v>
      </c>
      <c r="P196">
        <v>32221.95</v>
      </c>
      <c r="Q196" t="s">
        <v>37</v>
      </c>
      <c r="R196" t="s">
        <v>30</v>
      </c>
      <c r="S196" t="s">
        <v>69</v>
      </c>
      <c r="T196" t="s">
        <v>32</v>
      </c>
    </row>
    <row r="197" spans="1:20" x14ac:dyDescent="0.25">
      <c r="A197" t="s">
        <v>20</v>
      </c>
      <c r="B197" t="s">
        <v>484</v>
      </c>
      <c r="C197" s="1">
        <v>45923</v>
      </c>
      <c r="D197" t="s">
        <v>485</v>
      </c>
      <c r="E197" t="s">
        <v>43</v>
      </c>
      <c r="F197" t="s">
        <v>55</v>
      </c>
      <c r="G197">
        <v>30</v>
      </c>
      <c r="H197" t="s">
        <v>73</v>
      </c>
      <c r="I197" t="s">
        <v>26</v>
      </c>
      <c r="J197" t="s">
        <v>118</v>
      </c>
      <c r="K197" t="s">
        <v>101</v>
      </c>
      <c r="L197">
        <v>1</v>
      </c>
      <c r="M197">
        <v>85000</v>
      </c>
      <c r="N197">
        <v>7</v>
      </c>
      <c r="O197">
        <v>79050</v>
      </c>
      <c r="P197">
        <v>7474.33</v>
      </c>
      <c r="Q197" t="s">
        <v>82</v>
      </c>
      <c r="R197" t="s">
        <v>30</v>
      </c>
      <c r="S197" t="s">
        <v>39</v>
      </c>
      <c r="T197" t="s">
        <v>40</v>
      </c>
    </row>
    <row r="198" spans="1:20" x14ac:dyDescent="0.25">
      <c r="A198" t="s">
        <v>20</v>
      </c>
      <c r="B198" t="s">
        <v>486</v>
      </c>
      <c r="C198" s="1">
        <v>46124</v>
      </c>
      <c r="D198" t="s">
        <v>487</v>
      </c>
      <c r="E198" t="s">
        <v>43</v>
      </c>
      <c r="F198" t="s">
        <v>55</v>
      </c>
      <c r="G198">
        <v>52</v>
      </c>
      <c r="H198" t="s">
        <v>108</v>
      </c>
      <c r="I198" t="s">
        <v>26</v>
      </c>
      <c r="J198" t="s">
        <v>104</v>
      </c>
      <c r="K198" t="s">
        <v>58</v>
      </c>
      <c r="L198">
        <v>1</v>
      </c>
      <c r="M198">
        <v>171000</v>
      </c>
      <c r="N198">
        <v>10</v>
      </c>
      <c r="O198">
        <v>153900</v>
      </c>
      <c r="P198">
        <v>18938.52</v>
      </c>
      <c r="Q198" t="s">
        <v>37</v>
      </c>
      <c r="R198" t="s">
        <v>126</v>
      </c>
      <c r="S198" t="s">
        <v>31</v>
      </c>
      <c r="T198" t="s">
        <v>40</v>
      </c>
    </row>
    <row r="199" spans="1:20" x14ac:dyDescent="0.25">
      <c r="A199" t="s">
        <v>20</v>
      </c>
      <c r="B199" t="s">
        <v>488</v>
      </c>
      <c r="C199" s="1">
        <v>45670</v>
      </c>
      <c r="D199" t="s">
        <v>489</v>
      </c>
      <c r="E199" t="s">
        <v>80</v>
      </c>
      <c r="F199" t="s">
        <v>24</v>
      </c>
      <c r="G199">
        <v>35</v>
      </c>
      <c r="H199" t="s">
        <v>108</v>
      </c>
      <c r="I199" t="s">
        <v>26</v>
      </c>
      <c r="J199" t="s">
        <v>27</v>
      </c>
      <c r="K199" t="s">
        <v>101</v>
      </c>
      <c r="L199">
        <v>1</v>
      </c>
      <c r="M199">
        <v>96000</v>
      </c>
      <c r="N199">
        <v>0</v>
      </c>
      <c r="O199">
        <v>96000</v>
      </c>
      <c r="P199">
        <v>20612.68</v>
      </c>
      <c r="Q199" t="s">
        <v>59</v>
      </c>
      <c r="R199" t="s">
        <v>96</v>
      </c>
      <c r="S199" t="s">
        <v>31</v>
      </c>
      <c r="T199" t="s">
        <v>32</v>
      </c>
    </row>
    <row r="200" spans="1:20" x14ac:dyDescent="0.25">
      <c r="A200" t="s">
        <v>20</v>
      </c>
      <c r="B200" t="s">
        <v>490</v>
      </c>
      <c r="C200" s="1">
        <v>45985</v>
      </c>
      <c r="D200" t="s">
        <v>491</v>
      </c>
      <c r="E200" t="s">
        <v>23</v>
      </c>
      <c r="F200" t="s">
        <v>24</v>
      </c>
      <c r="G200">
        <v>37</v>
      </c>
      <c r="H200" t="s">
        <v>95</v>
      </c>
      <c r="I200" t="s">
        <v>26</v>
      </c>
      <c r="J200" t="s">
        <v>36</v>
      </c>
      <c r="K200" t="s">
        <v>28</v>
      </c>
      <c r="L200">
        <v>1</v>
      </c>
      <c r="M200">
        <v>114000</v>
      </c>
      <c r="N200">
        <v>5</v>
      </c>
      <c r="O200">
        <v>108300</v>
      </c>
      <c r="P200">
        <v>6851.11</v>
      </c>
      <c r="Q200" t="s">
        <v>105</v>
      </c>
      <c r="R200" t="s">
        <v>96</v>
      </c>
      <c r="S200" t="s">
        <v>31</v>
      </c>
      <c r="T200" t="s">
        <v>32</v>
      </c>
    </row>
    <row r="201" spans="1:20" x14ac:dyDescent="0.25">
      <c r="A201" t="s">
        <v>20</v>
      </c>
      <c r="B201" t="s">
        <v>492</v>
      </c>
      <c r="C201" s="1">
        <v>46224</v>
      </c>
      <c r="D201" t="s">
        <v>493</v>
      </c>
      <c r="E201" t="s">
        <v>80</v>
      </c>
      <c r="F201" t="s">
        <v>24</v>
      </c>
      <c r="G201">
        <v>49</v>
      </c>
      <c r="H201" t="s">
        <v>108</v>
      </c>
      <c r="I201" t="s">
        <v>26</v>
      </c>
      <c r="J201" t="s">
        <v>77</v>
      </c>
      <c r="K201" t="s">
        <v>68</v>
      </c>
      <c r="L201">
        <v>2</v>
      </c>
      <c r="M201">
        <v>195000</v>
      </c>
      <c r="N201">
        <v>3</v>
      </c>
      <c r="O201">
        <v>378300</v>
      </c>
      <c r="P201">
        <v>58782.32</v>
      </c>
      <c r="Q201" t="s">
        <v>74</v>
      </c>
      <c r="R201" t="s">
        <v>60</v>
      </c>
      <c r="S201" t="s">
        <v>61</v>
      </c>
      <c r="T201" t="s">
        <v>32</v>
      </c>
    </row>
    <row r="202" spans="1:20" x14ac:dyDescent="0.25">
      <c r="A202" t="s">
        <v>20</v>
      </c>
      <c r="B202" t="s">
        <v>494</v>
      </c>
      <c r="C202" s="1">
        <v>46217</v>
      </c>
      <c r="D202" t="s">
        <v>495</v>
      </c>
      <c r="E202" t="s">
        <v>129</v>
      </c>
      <c r="F202" t="s">
        <v>55</v>
      </c>
      <c r="G202">
        <v>35</v>
      </c>
      <c r="H202" t="s">
        <v>56</v>
      </c>
      <c r="I202" t="s">
        <v>26</v>
      </c>
      <c r="J202" t="s">
        <v>57</v>
      </c>
      <c r="K202" t="s">
        <v>58</v>
      </c>
      <c r="L202">
        <v>1</v>
      </c>
      <c r="M202">
        <v>175000</v>
      </c>
      <c r="N202">
        <v>2</v>
      </c>
      <c r="O202">
        <v>171500</v>
      </c>
      <c r="P202">
        <v>19618.27</v>
      </c>
      <c r="Q202" t="s">
        <v>105</v>
      </c>
      <c r="R202" t="s">
        <v>96</v>
      </c>
      <c r="S202" t="s">
        <v>87</v>
      </c>
      <c r="T202" t="s">
        <v>40</v>
      </c>
    </row>
    <row r="203" spans="1:20" x14ac:dyDescent="0.25">
      <c r="A203" t="s">
        <v>20</v>
      </c>
      <c r="B203" t="s">
        <v>496</v>
      </c>
      <c r="C203" s="1">
        <v>45972</v>
      </c>
      <c r="D203" t="s">
        <v>497</v>
      </c>
      <c r="E203" t="s">
        <v>50</v>
      </c>
      <c r="F203" t="s">
        <v>55</v>
      </c>
      <c r="G203">
        <v>26</v>
      </c>
      <c r="H203" t="s">
        <v>56</v>
      </c>
      <c r="I203" t="s">
        <v>26</v>
      </c>
      <c r="J203" t="s">
        <v>118</v>
      </c>
      <c r="K203" t="s">
        <v>58</v>
      </c>
      <c r="L203">
        <v>1</v>
      </c>
      <c r="M203">
        <v>87000</v>
      </c>
      <c r="N203">
        <v>5</v>
      </c>
      <c r="O203">
        <v>82650</v>
      </c>
      <c r="P203">
        <v>5926.38</v>
      </c>
      <c r="Q203" t="s">
        <v>46</v>
      </c>
      <c r="R203" t="s">
        <v>30</v>
      </c>
      <c r="S203" t="s">
        <v>31</v>
      </c>
      <c r="T203" t="s">
        <v>40</v>
      </c>
    </row>
    <row r="204" spans="1:20" x14ac:dyDescent="0.25">
      <c r="A204" t="s">
        <v>20</v>
      </c>
      <c r="B204" t="s">
        <v>498</v>
      </c>
      <c r="C204" s="1">
        <v>46039</v>
      </c>
      <c r="D204" t="s">
        <v>499</v>
      </c>
      <c r="E204" t="s">
        <v>23</v>
      </c>
      <c r="F204" t="s">
        <v>55</v>
      </c>
      <c r="G204">
        <v>49</v>
      </c>
      <c r="H204" t="s">
        <v>25</v>
      </c>
      <c r="I204" t="s">
        <v>26</v>
      </c>
      <c r="J204" t="s">
        <v>27</v>
      </c>
      <c r="K204" t="s">
        <v>68</v>
      </c>
      <c r="L204">
        <v>2</v>
      </c>
      <c r="M204">
        <v>96000</v>
      </c>
      <c r="N204">
        <v>5</v>
      </c>
      <c r="O204">
        <v>182400</v>
      </c>
      <c r="P204">
        <v>16492.490000000002</v>
      </c>
      <c r="Q204" t="s">
        <v>59</v>
      </c>
      <c r="R204" t="s">
        <v>30</v>
      </c>
      <c r="S204" t="s">
        <v>87</v>
      </c>
      <c r="T204" t="s">
        <v>32</v>
      </c>
    </row>
    <row r="205" spans="1:20" x14ac:dyDescent="0.25">
      <c r="A205" t="s">
        <v>20</v>
      </c>
      <c r="B205" t="s">
        <v>500</v>
      </c>
      <c r="C205" s="1">
        <v>46060</v>
      </c>
      <c r="D205" t="s">
        <v>501</v>
      </c>
      <c r="E205" t="s">
        <v>43</v>
      </c>
      <c r="F205" t="s">
        <v>24</v>
      </c>
      <c r="G205">
        <v>40</v>
      </c>
      <c r="H205" t="s">
        <v>73</v>
      </c>
      <c r="I205" t="s">
        <v>26</v>
      </c>
      <c r="J205" t="s">
        <v>77</v>
      </c>
      <c r="K205" t="s">
        <v>101</v>
      </c>
      <c r="L205">
        <v>1</v>
      </c>
      <c r="M205">
        <v>195000</v>
      </c>
      <c r="N205">
        <v>3</v>
      </c>
      <c r="O205">
        <v>189150</v>
      </c>
      <c r="P205">
        <v>15380.62</v>
      </c>
      <c r="Q205" t="s">
        <v>52</v>
      </c>
      <c r="R205" t="s">
        <v>30</v>
      </c>
      <c r="S205" t="s">
        <v>31</v>
      </c>
      <c r="T205" t="s">
        <v>32</v>
      </c>
    </row>
    <row r="206" spans="1:20" x14ac:dyDescent="0.25">
      <c r="A206" t="s">
        <v>20</v>
      </c>
      <c r="B206" t="s">
        <v>502</v>
      </c>
      <c r="C206" s="1">
        <v>46074</v>
      </c>
      <c r="D206" t="s">
        <v>503</v>
      </c>
      <c r="E206" t="s">
        <v>43</v>
      </c>
      <c r="F206" t="s">
        <v>55</v>
      </c>
      <c r="G206">
        <v>27</v>
      </c>
      <c r="H206" t="s">
        <v>108</v>
      </c>
      <c r="I206" t="s">
        <v>26</v>
      </c>
      <c r="J206" t="s">
        <v>81</v>
      </c>
      <c r="K206" t="s">
        <v>58</v>
      </c>
      <c r="L206">
        <v>1</v>
      </c>
      <c r="M206">
        <v>234000</v>
      </c>
      <c r="N206">
        <v>5</v>
      </c>
      <c r="O206">
        <v>222300</v>
      </c>
      <c r="P206">
        <v>26693.17</v>
      </c>
      <c r="Q206" t="s">
        <v>74</v>
      </c>
      <c r="R206" t="s">
        <v>38</v>
      </c>
      <c r="S206" t="s">
        <v>39</v>
      </c>
      <c r="T206" t="s">
        <v>32</v>
      </c>
    </row>
    <row r="207" spans="1:20" x14ac:dyDescent="0.25">
      <c r="A207" t="s">
        <v>20</v>
      </c>
      <c r="B207" t="s">
        <v>504</v>
      </c>
      <c r="C207" s="1">
        <v>45699</v>
      </c>
      <c r="D207" t="s">
        <v>505</v>
      </c>
      <c r="E207" t="s">
        <v>43</v>
      </c>
      <c r="F207" t="s">
        <v>55</v>
      </c>
      <c r="G207">
        <v>33</v>
      </c>
      <c r="H207" t="s">
        <v>73</v>
      </c>
      <c r="I207" t="s">
        <v>26</v>
      </c>
      <c r="J207" t="s">
        <v>121</v>
      </c>
      <c r="K207" t="s">
        <v>28</v>
      </c>
      <c r="L207">
        <v>1</v>
      </c>
      <c r="M207">
        <v>95000</v>
      </c>
      <c r="N207">
        <v>10</v>
      </c>
      <c r="O207">
        <v>85500</v>
      </c>
      <c r="P207">
        <v>3455.59</v>
      </c>
      <c r="Q207" t="s">
        <v>105</v>
      </c>
      <c r="R207" t="s">
        <v>60</v>
      </c>
      <c r="S207" t="s">
        <v>47</v>
      </c>
      <c r="T207" t="s">
        <v>32</v>
      </c>
    </row>
    <row r="208" spans="1:20" x14ac:dyDescent="0.25">
      <c r="A208" t="s">
        <v>20</v>
      </c>
      <c r="B208" t="s">
        <v>506</v>
      </c>
      <c r="C208" s="1">
        <v>46121</v>
      </c>
      <c r="D208" t="s">
        <v>507</v>
      </c>
      <c r="E208" t="s">
        <v>50</v>
      </c>
      <c r="F208" t="s">
        <v>55</v>
      </c>
      <c r="G208">
        <v>55</v>
      </c>
      <c r="H208" t="s">
        <v>51</v>
      </c>
      <c r="I208" t="s">
        <v>26</v>
      </c>
      <c r="J208" t="s">
        <v>104</v>
      </c>
      <c r="K208" t="s">
        <v>58</v>
      </c>
      <c r="L208">
        <v>1</v>
      </c>
      <c r="M208">
        <v>169000</v>
      </c>
      <c r="N208">
        <v>0</v>
      </c>
      <c r="O208">
        <v>169000</v>
      </c>
      <c r="P208">
        <v>17871.48</v>
      </c>
      <c r="Q208" t="s">
        <v>82</v>
      </c>
      <c r="R208" t="s">
        <v>96</v>
      </c>
      <c r="S208" t="s">
        <v>69</v>
      </c>
      <c r="T208" t="s">
        <v>32</v>
      </c>
    </row>
    <row r="209" spans="1:20" x14ac:dyDescent="0.25">
      <c r="A209" t="s">
        <v>20</v>
      </c>
      <c r="B209" t="s">
        <v>508</v>
      </c>
      <c r="C209" s="1">
        <v>45744</v>
      </c>
      <c r="D209" t="s">
        <v>509</v>
      </c>
      <c r="E209" t="s">
        <v>23</v>
      </c>
      <c r="F209" t="s">
        <v>55</v>
      </c>
      <c r="G209">
        <v>36</v>
      </c>
      <c r="H209" t="s">
        <v>44</v>
      </c>
      <c r="I209" t="s">
        <v>26</v>
      </c>
      <c r="J209" t="s">
        <v>118</v>
      </c>
      <c r="K209" t="s">
        <v>28</v>
      </c>
      <c r="L209">
        <v>1</v>
      </c>
      <c r="M209">
        <v>85000</v>
      </c>
      <c r="N209">
        <v>3</v>
      </c>
      <c r="O209">
        <v>82450</v>
      </c>
      <c r="P209">
        <v>9149.89</v>
      </c>
      <c r="Q209" t="s">
        <v>52</v>
      </c>
      <c r="R209" t="s">
        <v>38</v>
      </c>
      <c r="S209" t="s">
        <v>31</v>
      </c>
      <c r="T209" t="s">
        <v>32</v>
      </c>
    </row>
    <row r="210" spans="1:20" x14ac:dyDescent="0.25">
      <c r="A210" t="s">
        <v>20</v>
      </c>
      <c r="B210" t="s">
        <v>510</v>
      </c>
      <c r="C210" s="1">
        <v>46245</v>
      </c>
      <c r="D210" t="s">
        <v>511</v>
      </c>
      <c r="E210" t="s">
        <v>94</v>
      </c>
      <c r="F210" t="s">
        <v>24</v>
      </c>
      <c r="G210">
        <v>47</v>
      </c>
      <c r="H210" t="s">
        <v>108</v>
      </c>
      <c r="I210" t="s">
        <v>26</v>
      </c>
      <c r="J210" t="s">
        <v>64</v>
      </c>
      <c r="K210" t="s">
        <v>28</v>
      </c>
      <c r="L210">
        <v>1</v>
      </c>
      <c r="M210">
        <v>125000</v>
      </c>
      <c r="N210">
        <v>0</v>
      </c>
      <c r="O210">
        <v>125000</v>
      </c>
      <c r="P210">
        <v>24980.16</v>
      </c>
      <c r="Q210" t="s">
        <v>59</v>
      </c>
      <c r="R210" t="s">
        <v>38</v>
      </c>
      <c r="S210" t="s">
        <v>31</v>
      </c>
      <c r="T210" t="s">
        <v>40</v>
      </c>
    </row>
    <row r="211" spans="1:20" x14ac:dyDescent="0.25">
      <c r="A211" t="s">
        <v>20</v>
      </c>
      <c r="B211" t="s">
        <v>512</v>
      </c>
      <c r="C211" s="1">
        <v>45909</v>
      </c>
      <c r="D211" t="s">
        <v>513</v>
      </c>
      <c r="E211" t="s">
        <v>35</v>
      </c>
      <c r="F211" t="s">
        <v>24</v>
      </c>
      <c r="G211">
        <v>0</v>
      </c>
      <c r="H211" t="s">
        <v>73</v>
      </c>
      <c r="I211" t="s">
        <v>26</v>
      </c>
      <c r="J211" t="s">
        <v>111</v>
      </c>
      <c r="K211" t="s">
        <v>58</v>
      </c>
      <c r="L211">
        <v>1</v>
      </c>
      <c r="M211">
        <v>125000</v>
      </c>
      <c r="N211">
        <v>2</v>
      </c>
      <c r="O211">
        <v>122500</v>
      </c>
      <c r="P211">
        <v>24480.26</v>
      </c>
      <c r="Q211" t="s">
        <v>105</v>
      </c>
      <c r="R211" t="s">
        <v>30</v>
      </c>
      <c r="S211" t="s">
        <v>39</v>
      </c>
      <c r="T211" t="s">
        <v>40</v>
      </c>
    </row>
    <row r="212" spans="1:20" x14ac:dyDescent="0.25">
      <c r="A212" t="s">
        <v>20</v>
      </c>
      <c r="B212" t="s">
        <v>514</v>
      </c>
      <c r="C212" s="1">
        <v>46214</v>
      </c>
      <c r="D212" t="s">
        <v>515</v>
      </c>
      <c r="E212" t="s">
        <v>94</v>
      </c>
      <c r="F212" t="s">
        <v>24</v>
      </c>
      <c r="G212">
        <v>21</v>
      </c>
      <c r="H212" t="s">
        <v>95</v>
      </c>
      <c r="I212" t="s">
        <v>26</v>
      </c>
      <c r="J212" t="s">
        <v>45</v>
      </c>
      <c r="K212" t="s">
        <v>58</v>
      </c>
      <c r="L212">
        <v>1</v>
      </c>
      <c r="M212">
        <v>99000</v>
      </c>
      <c r="N212">
        <v>2</v>
      </c>
      <c r="O212">
        <v>97020</v>
      </c>
      <c r="P212">
        <v>12306.64</v>
      </c>
      <c r="Q212" t="s">
        <v>46</v>
      </c>
      <c r="R212" t="s">
        <v>60</v>
      </c>
      <c r="S212" t="s">
        <v>87</v>
      </c>
      <c r="T212" t="s">
        <v>40</v>
      </c>
    </row>
    <row r="213" spans="1:20" x14ac:dyDescent="0.25">
      <c r="A213" t="s">
        <v>20</v>
      </c>
      <c r="B213" t="s">
        <v>516</v>
      </c>
      <c r="C213" s="1">
        <v>45945</v>
      </c>
      <c r="D213" t="s">
        <v>517</v>
      </c>
      <c r="E213" t="s">
        <v>35</v>
      </c>
      <c r="F213" t="s">
        <v>24</v>
      </c>
      <c r="G213">
        <v>23</v>
      </c>
      <c r="H213" t="s">
        <v>51</v>
      </c>
      <c r="I213" t="s">
        <v>26</v>
      </c>
      <c r="J213" t="s">
        <v>77</v>
      </c>
      <c r="K213" t="s">
        <v>68</v>
      </c>
      <c r="L213">
        <v>1</v>
      </c>
      <c r="M213">
        <v>195000</v>
      </c>
      <c r="N213">
        <v>7</v>
      </c>
      <c r="O213">
        <v>181350</v>
      </c>
      <c r="P213">
        <v>24124.93</v>
      </c>
      <c r="Q213" t="s">
        <v>37</v>
      </c>
      <c r="R213" t="s">
        <v>30</v>
      </c>
      <c r="S213" t="s">
        <v>31</v>
      </c>
      <c r="T213" t="s">
        <v>32</v>
      </c>
    </row>
    <row r="214" spans="1:20" x14ac:dyDescent="0.25">
      <c r="A214" t="s">
        <v>20</v>
      </c>
      <c r="B214" t="s">
        <v>518</v>
      </c>
      <c r="C214" s="1">
        <v>46055</v>
      </c>
      <c r="D214" t="s">
        <v>519</v>
      </c>
      <c r="E214" t="s">
        <v>129</v>
      </c>
      <c r="F214" t="s">
        <v>55</v>
      </c>
      <c r="G214">
        <v>42</v>
      </c>
      <c r="H214" t="s">
        <v>25</v>
      </c>
      <c r="I214" t="s">
        <v>26</v>
      </c>
      <c r="J214" t="s">
        <v>104</v>
      </c>
      <c r="K214" t="s">
        <v>68</v>
      </c>
      <c r="L214">
        <v>1</v>
      </c>
      <c r="M214">
        <v>169000</v>
      </c>
      <c r="N214">
        <v>7</v>
      </c>
      <c r="O214">
        <v>157170</v>
      </c>
      <c r="P214">
        <v>8182.88</v>
      </c>
      <c r="Q214" t="s">
        <v>86</v>
      </c>
      <c r="R214" t="s">
        <v>60</v>
      </c>
      <c r="S214" t="s">
        <v>87</v>
      </c>
      <c r="T214" t="s">
        <v>32</v>
      </c>
    </row>
    <row r="215" spans="1:20" x14ac:dyDescent="0.25">
      <c r="A215" t="s">
        <v>20</v>
      </c>
      <c r="B215" t="s">
        <v>520</v>
      </c>
      <c r="C215" s="1">
        <v>45837</v>
      </c>
      <c r="D215" t="s">
        <v>521</v>
      </c>
      <c r="E215" t="s">
        <v>80</v>
      </c>
      <c r="F215" t="s">
        <v>55</v>
      </c>
      <c r="G215">
        <v>51</v>
      </c>
      <c r="H215" t="s">
        <v>73</v>
      </c>
      <c r="I215" t="s">
        <v>26</v>
      </c>
      <c r="J215" t="s">
        <v>64</v>
      </c>
      <c r="K215" t="s">
        <v>28</v>
      </c>
      <c r="L215">
        <v>1</v>
      </c>
      <c r="M215">
        <v>124000</v>
      </c>
      <c r="N215">
        <v>5</v>
      </c>
      <c r="O215">
        <v>117800</v>
      </c>
      <c r="P215">
        <v>13013.19</v>
      </c>
      <c r="Q215" t="s">
        <v>52</v>
      </c>
      <c r="R215" t="s">
        <v>96</v>
      </c>
      <c r="S215" t="s">
        <v>69</v>
      </c>
      <c r="T215" t="s">
        <v>40</v>
      </c>
    </row>
    <row r="216" spans="1:20" x14ac:dyDescent="0.25">
      <c r="A216" t="s">
        <v>20</v>
      </c>
      <c r="B216" t="s">
        <v>522</v>
      </c>
      <c r="C216" s="1">
        <v>45839</v>
      </c>
      <c r="D216" t="s">
        <v>523</v>
      </c>
      <c r="E216" t="s">
        <v>80</v>
      </c>
      <c r="F216" t="s">
        <v>55</v>
      </c>
      <c r="G216">
        <v>40</v>
      </c>
      <c r="H216" t="s">
        <v>56</v>
      </c>
      <c r="I216" t="s">
        <v>26</v>
      </c>
      <c r="J216" t="s">
        <v>118</v>
      </c>
      <c r="K216" t="s">
        <v>68</v>
      </c>
      <c r="L216">
        <v>2</v>
      </c>
      <c r="M216">
        <v>84000</v>
      </c>
      <c r="N216">
        <v>2</v>
      </c>
      <c r="O216">
        <v>164640</v>
      </c>
      <c r="P216">
        <v>26730.3</v>
      </c>
      <c r="Q216" t="s">
        <v>37</v>
      </c>
      <c r="R216" t="s">
        <v>30</v>
      </c>
      <c r="S216" t="s">
        <v>87</v>
      </c>
      <c r="T216" t="s">
        <v>40</v>
      </c>
    </row>
    <row r="217" spans="1:20" x14ac:dyDescent="0.25">
      <c r="A217" t="s">
        <v>20</v>
      </c>
      <c r="B217" t="s">
        <v>524</v>
      </c>
      <c r="C217" s="1">
        <v>46002</v>
      </c>
      <c r="D217" t="s">
        <v>525</v>
      </c>
      <c r="E217" t="s">
        <v>43</v>
      </c>
      <c r="F217" t="s">
        <v>55</v>
      </c>
      <c r="G217">
        <v>120</v>
      </c>
      <c r="H217" t="s">
        <v>56</v>
      </c>
      <c r="I217" t="s">
        <v>26</v>
      </c>
      <c r="J217" t="s">
        <v>27</v>
      </c>
      <c r="K217" t="s">
        <v>68</v>
      </c>
      <c r="L217">
        <v>1</v>
      </c>
      <c r="M217">
        <v>97000</v>
      </c>
      <c r="N217">
        <v>5</v>
      </c>
      <c r="O217">
        <v>92150</v>
      </c>
      <c r="P217">
        <v>9668.77</v>
      </c>
      <c r="Q217" t="s">
        <v>59</v>
      </c>
      <c r="R217" t="s">
        <v>38</v>
      </c>
      <c r="S217" t="s">
        <v>61</v>
      </c>
      <c r="T217" t="s">
        <v>40</v>
      </c>
    </row>
    <row r="218" spans="1:20" x14ac:dyDescent="0.25">
      <c r="A218" t="s">
        <v>20</v>
      </c>
      <c r="B218" t="s">
        <v>526</v>
      </c>
      <c r="C218" s="1">
        <v>45959</v>
      </c>
      <c r="D218" t="s">
        <v>527</v>
      </c>
      <c r="E218" t="s">
        <v>129</v>
      </c>
      <c r="F218" t="s">
        <v>55</v>
      </c>
      <c r="G218">
        <v>28</v>
      </c>
      <c r="H218" t="s">
        <v>56</v>
      </c>
      <c r="I218" t="s">
        <v>26</v>
      </c>
      <c r="J218" t="s">
        <v>45</v>
      </c>
      <c r="K218" t="s">
        <v>58</v>
      </c>
      <c r="L218">
        <v>1</v>
      </c>
      <c r="M218">
        <v>99000</v>
      </c>
      <c r="N218">
        <v>2</v>
      </c>
      <c r="O218">
        <v>97020</v>
      </c>
      <c r="P218">
        <v>15304.8</v>
      </c>
      <c r="Q218" t="s">
        <v>105</v>
      </c>
      <c r="R218" t="s">
        <v>96</v>
      </c>
      <c r="S218" t="s">
        <v>87</v>
      </c>
      <c r="T218" t="s">
        <v>40</v>
      </c>
    </row>
    <row r="219" spans="1:20" x14ac:dyDescent="0.25">
      <c r="A219" t="s">
        <v>20</v>
      </c>
      <c r="B219" t="s">
        <v>528</v>
      </c>
      <c r="C219" s="1">
        <v>45737</v>
      </c>
      <c r="D219" t="s">
        <v>529</v>
      </c>
      <c r="E219" t="s">
        <v>43</v>
      </c>
      <c r="F219" t="s">
        <v>24</v>
      </c>
      <c r="G219">
        <v>35</v>
      </c>
      <c r="H219" t="s">
        <v>44</v>
      </c>
      <c r="I219" t="s">
        <v>26</v>
      </c>
      <c r="J219" t="s">
        <v>81</v>
      </c>
      <c r="K219" t="s">
        <v>68</v>
      </c>
      <c r="L219">
        <v>1</v>
      </c>
      <c r="M219">
        <v>233000</v>
      </c>
      <c r="N219">
        <v>5</v>
      </c>
      <c r="O219">
        <v>221350</v>
      </c>
      <c r="P219">
        <v>35677.61</v>
      </c>
      <c r="Q219" t="s">
        <v>82</v>
      </c>
      <c r="R219" t="s">
        <v>60</v>
      </c>
      <c r="S219" t="s">
        <v>47</v>
      </c>
      <c r="T219" t="s">
        <v>32</v>
      </c>
    </row>
    <row r="220" spans="1:20" x14ac:dyDescent="0.25">
      <c r="A220" t="s">
        <v>20</v>
      </c>
      <c r="B220" t="s">
        <v>530</v>
      </c>
      <c r="C220" s="1">
        <v>45768</v>
      </c>
      <c r="D220" t="s">
        <v>531</v>
      </c>
      <c r="E220" t="s">
        <v>80</v>
      </c>
      <c r="F220" t="s">
        <v>24</v>
      </c>
      <c r="G220">
        <v>20</v>
      </c>
      <c r="H220" t="s">
        <v>44</v>
      </c>
      <c r="I220" t="s">
        <v>26</v>
      </c>
      <c r="J220" t="s">
        <v>104</v>
      </c>
      <c r="K220" t="s">
        <v>58</v>
      </c>
      <c r="L220">
        <v>1</v>
      </c>
      <c r="M220">
        <v>168000</v>
      </c>
      <c r="N220">
        <v>3</v>
      </c>
      <c r="O220">
        <v>162960</v>
      </c>
      <c r="P220">
        <v>26745.78</v>
      </c>
      <c r="Q220" t="s">
        <v>59</v>
      </c>
      <c r="R220" t="s">
        <v>96</v>
      </c>
      <c r="S220" t="s">
        <v>47</v>
      </c>
      <c r="T220" t="s">
        <v>40</v>
      </c>
    </row>
    <row r="221" spans="1:20" x14ac:dyDescent="0.25">
      <c r="A221" t="s">
        <v>20</v>
      </c>
      <c r="B221" t="s">
        <v>532</v>
      </c>
      <c r="C221" s="1">
        <v>46249</v>
      </c>
      <c r="D221" t="s">
        <v>533</v>
      </c>
      <c r="E221" t="s">
        <v>129</v>
      </c>
      <c r="F221" t="s">
        <v>24</v>
      </c>
      <c r="G221">
        <v>34</v>
      </c>
      <c r="H221" t="s">
        <v>56</v>
      </c>
      <c r="I221" t="s">
        <v>26</v>
      </c>
      <c r="J221" t="s">
        <v>77</v>
      </c>
      <c r="K221" t="s">
        <v>28</v>
      </c>
      <c r="L221">
        <v>1</v>
      </c>
      <c r="M221">
        <v>193000</v>
      </c>
      <c r="N221">
        <v>5</v>
      </c>
      <c r="O221">
        <v>183350</v>
      </c>
      <c r="P221">
        <v>14543.01</v>
      </c>
      <c r="Q221" t="s">
        <v>105</v>
      </c>
      <c r="R221" t="s">
        <v>60</v>
      </c>
      <c r="S221" t="s">
        <v>69</v>
      </c>
      <c r="T221" t="s">
        <v>40</v>
      </c>
    </row>
    <row r="222" spans="1:20" x14ac:dyDescent="0.25">
      <c r="A222" t="s">
        <v>20</v>
      </c>
      <c r="B222" t="s">
        <v>534</v>
      </c>
      <c r="C222" s="1">
        <v>45734</v>
      </c>
      <c r="D222" t="s">
        <v>535</v>
      </c>
      <c r="E222" t="s">
        <v>23</v>
      </c>
      <c r="F222" t="s">
        <v>24</v>
      </c>
      <c r="G222">
        <v>55</v>
      </c>
      <c r="H222" t="s">
        <v>108</v>
      </c>
      <c r="I222" t="s">
        <v>26</v>
      </c>
      <c r="J222" t="s">
        <v>104</v>
      </c>
      <c r="K222" t="s">
        <v>58</v>
      </c>
      <c r="L222">
        <v>1</v>
      </c>
      <c r="M222">
        <v>169000</v>
      </c>
      <c r="N222">
        <v>5</v>
      </c>
      <c r="O222">
        <v>160550</v>
      </c>
      <c r="P222">
        <v>25466.86</v>
      </c>
      <c r="Q222" t="s">
        <v>105</v>
      </c>
      <c r="R222" t="s">
        <v>38</v>
      </c>
      <c r="S222" t="s">
        <v>61</v>
      </c>
      <c r="T222" t="s">
        <v>32</v>
      </c>
    </row>
    <row r="223" spans="1:20" x14ac:dyDescent="0.25">
      <c r="A223" t="s">
        <v>20</v>
      </c>
      <c r="B223" t="s">
        <v>536</v>
      </c>
      <c r="C223" s="1">
        <v>45852</v>
      </c>
      <c r="D223" t="s">
        <v>537</v>
      </c>
      <c r="E223" t="s">
        <v>72</v>
      </c>
      <c r="F223" t="s">
        <v>24</v>
      </c>
      <c r="G223">
        <v>46</v>
      </c>
      <c r="H223" t="s">
        <v>95</v>
      </c>
      <c r="I223" t="s">
        <v>26</v>
      </c>
      <c r="J223" t="s">
        <v>81</v>
      </c>
      <c r="K223" t="s">
        <v>101</v>
      </c>
      <c r="L223">
        <v>1</v>
      </c>
      <c r="M223">
        <v>233000</v>
      </c>
      <c r="N223">
        <v>3</v>
      </c>
      <c r="O223">
        <v>226010</v>
      </c>
      <c r="P223">
        <v>38522.81</v>
      </c>
      <c r="Q223" t="s">
        <v>52</v>
      </c>
      <c r="R223" t="s">
        <v>30</v>
      </c>
      <c r="S223" t="s">
        <v>69</v>
      </c>
      <c r="T223" t="s">
        <v>40</v>
      </c>
    </row>
    <row r="224" spans="1:20" x14ac:dyDescent="0.25">
      <c r="A224" t="s">
        <v>20</v>
      </c>
      <c r="B224" t="s">
        <v>538</v>
      </c>
      <c r="C224" s="1">
        <v>45959</v>
      </c>
      <c r="D224" t="s">
        <v>539</v>
      </c>
      <c r="E224" t="s">
        <v>50</v>
      </c>
      <c r="F224" t="s">
        <v>55</v>
      </c>
      <c r="G224">
        <v>50</v>
      </c>
      <c r="H224" t="s">
        <v>85</v>
      </c>
      <c r="I224" t="s">
        <v>26</v>
      </c>
      <c r="J224" t="s">
        <v>81</v>
      </c>
      <c r="K224" t="s">
        <v>28</v>
      </c>
      <c r="L224">
        <v>1</v>
      </c>
      <c r="M224">
        <v>235000</v>
      </c>
      <c r="N224">
        <v>0</v>
      </c>
      <c r="O224">
        <v>235000</v>
      </c>
      <c r="P224">
        <v>39641.51</v>
      </c>
      <c r="Q224" t="s">
        <v>52</v>
      </c>
      <c r="R224" t="s">
        <v>96</v>
      </c>
      <c r="S224" t="s">
        <v>61</v>
      </c>
      <c r="T224" t="s">
        <v>40</v>
      </c>
    </row>
    <row r="225" spans="1:20" x14ac:dyDescent="0.25">
      <c r="A225" t="s">
        <v>20</v>
      </c>
      <c r="B225" t="s">
        <v>540</v>
      </c>
      <c r="C225" s="1">
        <v>45929</v>
      </c>
      <c r="D225" t="s">
        <v>541</v>
      </c>
      <c r="E225" t="s">
        <v>94</v>
      </c>
      <c r="F225" t="s">
        <v>55</v>
      </c>
      <c r="G225">
        <v>25</v>
      </c>
      <c r="H225" t="s">
        <v>85</v>
      </c>
      <c r="I225" t="s">
        <v>26</v>
      </c>
      <c r="J225" t="s">
        <v>27</v>
      </c>
      <c r="K225" t="s">
        <v>101</v>
      </c>
      <c r="L225">
        <v>1</v>
      </c>
      <c r="M225">
        <v>95000</v>
      </c>
      <c r="N225">
        <v>5</v>
      </c>
      <c r="O225">
        <v>90250</v>
      </c>
      <c r="P225">
        <v>10781.23</v>
      </c>
      <c r="Q225" t="s">
        <v>59</v>
      </c>
      <c r="R225" t="s">
        <v>60</v>
      </c>
      <c r="S225" t="s">
        <v>31</v>
      </c>
      <c r="T225" t="s">
        <v>40</v>
      </c>
    </row>
    <row r="226" spans="1:20" x14ac:dyDescent="0.25">
      <c r="A226" t="s">
        <v>20</v>
      </c>
      <c r="B226" t="s">
        <v>542</v>
      </c>
      <c r="C226" s="1">
        <v>46235</v>
      </c>
      <c r="D226" t="s">
        <v>543</v>
      </c>
      <c r="E226" t="s">
        <v>129</v>
      </c>
      <c r="F226" t="s">
        <v>55</v>
      </c>
      <c r="G226">
        <v>23</v>
      </c>
      <c r="H226" t="s">
        <v>51</v>
      </c>
      <c r="I226" t="s">
        <v>26</v>
      </c>
      <c r="J226" t="s">
        <v>118</v>
      </c>
      <c r="K226" t="s">
        <v>28</v>
      </c>
      <c r="L226">
        <v>1</v>
      </c>
      <c r="M226">
        <v>85000</v>
      </c>
      <c r="N226">
        <v>2</v>
      </c>
      <c r="O226">
        <v>83300</v>
      </c>
      <c r="P226">
        <v>8461.7999999999993</v>
      </c>
      <c r="Q226" t="s">
        <v>86</v>
      </c>
      <c r="R226" t="s">
        <v>38</v>
      </c>
      <c r="S226" t="s">
        <v>87</v>
      </c>
      <c r="T226" t="s">
        <v>32</v>
      </c>
    </row>
    <row r="227" spans="1:20" x14ac:dyDescent="0.25">
      <c r="A227" t="s">
        <v>20</v>
      </c>
      <c r="B227" t="s">
        <v>544</v>
      </c>
      <c r="C227" s="1">
        <v>46144</v>
      </c>
      <c r="D227" t="s">
        <v>545</v>
      </c>
      <c r="E227" t="s">
        <v>35</v>
      </c>
      <c r="F227" t="s">
        <v>24</v>
      </c>
      <c r="G227">
        <v>35</v>
      </c>
      <c r="H227" t="s">
        <v>25</v>
      </c>
      <c r="I227" t="s">
        <v>26</v>
      </c>
      <c r="J227" t="s">
        <v>36</v>
      </c>
      <c r="K227" t="s">
        <v>28</v>
      </c>
      <c r="L227">
        <v>1</v>
      </c>
      <c r="M227">
        <v>116000</v>
      </c>
      <c r="N227">
        <v>5</v>
      </c>
      <c r="O227">
        <v>110200</v>
      </c>
      <c r="P227">
        <v>6278.46</v>
      </c>
      <c r="Q227" t="s">
        <v>59</v>
      </c>
      <c r="R227" t="s">
        <v>30</v>
      </c>
      <c r="S227" t="s">
        <v>87</v>
      </c>
      <c r="T227" t="s">
        <v>32</v>
      </c>
    </row>
    <row r="228" spans="1:20" x14ac:dyDescent="0.25">
      <c r="A228" t="s">
        <v>20</v>
      </c>
      <c r="B228" t="s">
        <v>546</v>
      </c>
      <c r="C228" s="1">
        <v>45787</v>
      </c>
      <c r="D228" t="s">
        <v>547</v>
      </c>
      <c r="E228" t="s">
        <v>94</v>
      </c>
      <c r="F228" t="s">
        <v>55</v>
      </c>
      <c r="G228">
        <v>22</v>
      </c>
      <c r="H228" t="s">
        <v>85</v>
      </c>
      <c r="I228" t="s">
        <v>26</v>
      </c>
      <c r="J228" t="s">
        <v>27</v>
      </c>
      <c r="K228" t="s">
        <v>58</v>
      </c>
      <c r="L228">
        <v>1</v>
      </c>
      <c r="M228">
        <v>94000</v>
      </c>
      <c r="N228">
        <v>2</v>
      </c>
      <c r="O228">
        <v>92120</v>
      </c>
      <c r="P228">
        <v>9680.56</v>
      </c>
      <c r="Q228" t="s">
        <v>52</v>
      </c>
      <c r="R228" t="s">
        <v>96</v>
      </c>
      <c r="S228" t="s">
        <v>87</v>
      </c>
      <c r="T228" t="s">
        <v>40</v>
      </c>
    </row>
    <row r="229" spans="1:20" x14ac:dyDescent="0.25">
      <c r="A229" t="s">
        <v>20</v>
      </c>
      <c r="B229" t="s">
        <v>548</v>
      </c>
      <c r="C229" s="1">
        <v>45940</v>
      </c>
      <c r="D229" t="s">
        <v>549</v>
      </c>
      <c r="E229" t="s">
        <v>35</v>
      </c>
      <c r="F229" t="s">
        <v>55</v>
      </c>
      <c r="G229">
        <v>53</v>
      </c>
      <c r="H229" t="s">
        <v>108</v>
      </c>
      <c r="I229" t="s">
        <v>26</v>
      </c>
      <c r="J229" t="s">
        <v>64</v>
      </c>
      <c r="K229" t="s">
        <v>58</v>
      </c>
      <c r="L229">
        <v>1</v>
      </c>
      <c r="M229">
        <v>126000</v>
      </c>
      <c r="N229">
        <v>5</v>
      </c>
      <c r="O229">
        <v>119700</v>
      </c>
      <c r="P229">
        <v>13072.94</v>
      </c>
      <c r="Q229" t="s">
        <v>82</v>
      </c>
      <c r="R229" t="s">
        <v>38</v>
      </c>
      <c r="S229" t="s">
        <v>31</v>
      </c>
      <c r="T229" t="s">
        <v>32</v>
      </c>
    </row>
    <row r="230" spans="1:20" x14ac:dyDescent="0.25">
      <c r="A230" t="s">
        <v>20</v>
      </c>
      <c r="B230" t="s">
        <v>550</v>
      </c>
      <c r="C230" s="1">
        <v>46206</v>
      </c>
      <c r="D230" t="s">
        <v>551</v>
      </c>
      <c r="E230" t="s">
        <v>94</v>
      </c>
      <c r="F230" t="s">
        <v>24</v>
      </c>
      <c r="G230">
        <v>42</v>
      </c>
      <c r="H230" t="s">
        <v>108</v>
      </c>
      <c r="I230" t="s">
        <v>26</v>
      </c>
      <c r="J230" t="s">
        <v>81</v>
      </c>
      <c r="K230" t="s">
        <v>58</v>
      </c>
      <c r="L230">
        <v>2</v>
      </c>
      <c r="M230">
        <v>236000</v>
      </c>
      <c r="N230">
        <v>0</v>
      </c>
      <c r="O230">
        <v>472000</v>
      </c>
      <c r="P230">
        <v>59335.37</v>
      </c>
      <c r="Q230" t="s">
        <v>105</v>
      </c>
      <c r="R230" t="s">
        <v>38</v>
      </c>
      <c r="S230" t="s">
        <v>69</v>
      </c>
      <c r="T230" t="s">
        <v>32</v>
      </c>
    </row>
    <row r="231" spans="1:20" x14ac:dyDescent="0.25">
      <c r="A231" t="s">
        <v>20</v>
      </c>
      <c r="B231" t="s">
        <v>552</v>
      </c>
      <c r="C231" s="1">
        <v>45697</v>
      </c>
      <c r="D231" t="s">
        <v>553</v>
      </c>
      <c r="E231" t="s">
        <v>43</v>
      </c>
      <c r="F231" t="s">
        <v>55</v>
      </c>
      <c r="G231">
        <v>45</v>
      </c>
      <c r="H231" t="s">
        <v>95</v>
      </c>
      <c r="I231" t="s">
        <v>26</v>
      </c>
      <c r="J231" t="s">
        <v>104</v>
      </c>
      <c r="K231" t="s">
        <v>28</v>
      </c>
      <c r="L231">
        <v>1</v>
      </c>
      <c r="M231">
        <v>171000</v>
      </c>
      <c r="N231">
        <v>10</v>
      </c>
      <c r="O231">
        <v>153900</v>
      </c>
      <c r="P231">
        <v>6286.07</v>
      </c>
      <c r="Q231" t="s">
        <v>46</v>
      </c>
      <c r="R231" t="s">
        <v>60</v>
      </c>
      <c r="S231" t="s">
        <v>39</v>
      </c>
      <c r="T231" t="s">
        <v>32</v>
      </c>
    </row>
    <row r="232" spans="1:20" x14ac:dyDescent="0.25">
      <c r="A232" t="s">
        <v>20</v>
      </c>
      <c r="B232" t="s">
        <v>554</v>
      </c>
      <c r="C232" s="1">
        <v>45891</v>
      </c>
      <c r="D232" t="s">
        <v>555</v>
      </c>
      <c r="E232" t="s">
        <v>72</v>
      </c>
      <c r="F232" t="s">
        <v>24</v>
      </c>
      <c r="G232">
        <v>28</v>
      </c>
      <c r="H232" t="s">
        <v>51</v>
      </c>
      <c r="I232" t="s">
        <v>26</v>
      </c>
      <c r="J232" t="s">
        <v>64</v>
      </c>
      <c r="K232" t="s">
        <v>101</v>
      </c>
      <c r="L232">
        <v>1</v>
      </c>
      <c r="M232">
        <v>125000</v>
      </c>
      <c r="N232">
        <v>10</v>
      </c>
      <c r="O232">
        <v>112500</v>
      </c>
      <c r="P232">
        <v>4727.22</v>
      </c>
      <c r="Q232" t="s">
        <v>74</v>
      </c>
      <c r="R232" t="s">
        <v>38</v>
      </c>
      <c r="S232" t="s">
        <v>87</v>
      </c>
      <c r="T232" t="s">
        <v>32</v>
      </c>
    </row>
    <row r="233" spans="1:20" x14ac:dyDescent="0.25">
      <c r="A233" t="s">
        <v>20</v>
      </c>
      <c r="B233" t="s">
        <v>556</v>
      </c>
      <c r="C233" s="1">
        <v>46186</v>
      </c>
      <c r="D233" t="s">
        <v>557</v>
      </c>
      <c r="E233" t="s">
        <v>80</v>
      </c>
      <c r="F233" t="s">
        <v>55</v>
      </c>
      <c r="G233">
        <v>43</v>
      </c>
      <c r="H233" t="s">
        <v>85</v>
      </c>
      <c r="I233" t="s">
        <v>26</v>
      </c>
      <c r="J233" t="s">
        <v>111</v>
      </c>
      <c r="K233" t="s">
        <v>28</v>
      </c>
      <c r="L233">
        <v>1</v>
      </c>
      <c r="M233">
        <v>125000</v>
      </c>
      <c r="N233">
        <v>10</v>
      </c>
      <c r="O233">
        <v>112500</v>
      </c>
      <c r="P233">
        <v>7733.1</v>
      </c>
      <c r="Q233" t="s">
        <v>74</v>
      </c>
      <c r="R233" t="s">
        <v>38</v>
      </c>
      <c r="S233" t="s">
        <v>31</v>
      </c>
      <c r="T233" t="s">
        <v>32</v>
      </c>
    </row>
    <row r="234" spans="1:20" x14ac:dyDescent="0.25">
      <c r="A234" t="s">
        <v>20</v>
      </c>
      <c r="B234" t="s">
        <v>558</v>
      </c>
      <c r="C234" s="1">
        <v>46125</v>
      </c>
      <c r="D234" t="s">
        <v>559</v>
      </c>
      <c r="E234" t="s">
        <v>43</v>
      </c>
      <c r="F234" t="s">
        <v>55</v>
      </c>
      <c r="G234">
        <v>23</v>
      </c>
      <c r="H234" t="s">
        <v>44</v>
      </c>
      <c r="I234" t="s">
        <v>26</v>
      </c>
      <c r="J234" t="s">
        <v>45</v>
      </c>
      <c r="K234" t="s">
        <v>101</v>
      </c>
      <c r="L234">
        <v>2</v>
      </c>
      <c r="M234">
        <v>97000</v>
      </c>
      <c r="N234">
        <v>0</v>
      </c>
      <c r="O234">
        <v>194000</v>
      </c>
      <c r="P234">
        <v>36871.870000000003</v>
      </c>
      <c r="Q234" t="s">
        <v>86</v>
      </c>
      <c r="R234" t="s">
        <v>38</v>
      </c>
      <c r="S234" t="s">
        <v>87</v>
      </c>
      <c r="T234" t="s">
        <v>40</v>
      </c>
    </row>
    <row r="235" spans="1:20" x14ac:dyDescent="0.25">
      <c r="A235" t="s">
        <v>20</v>
      </c>
      <c r="B235" t="s">
        <v>560</v>
      </c>
      <c r="C235" s="1">
        <v>46143</v>
      </c>
      <c r="D235" t="s">
        <v>561</v>
      </c>
      <c r="E235" t="s">
        <v>43</v>
      </c>
      <c r="F235" t="s">
        <v>24</v>
      </c>
      <c r="G235">
        <v>55</v>
      </c>
      <c r="H235" t="s">
        <v>25</v>
      </c>
      <c r="I235" t="s">
        <v>26</v>
      </c>
      <c r="J235" t="s">
        <v>27</v>
      </c>
      <c r="K235" t="s">
        <v>68</v>
      </c>
      <c r="L235">
        <v>1</v>
      </c>
      <c r="M235">
        <v>95000</v>
      </c>
      <c r="N235">
        <v>7</v>
      </c>
      <c r="O235">
        <v>88350</v>
      </c>
      <c r="P235">
        <v>9164.42</v>
      </c>
      <c r="Q235" t="s">
        <v>74</v>
      </c>
      <c r="R235" t="s">
        <v>30</v>
      </c>
      <c r="S235" t="s">
        <v>39</v>
      </c>
      <c r="T235" t="s">
        <v>32</v>
      </c>
    </row>
    <row r="236" spans="1:20" x14ac:dyDescent="0.25">
      <c r="A236" t="s">
        <v>20</v>
      </c>
      <c r="B236" t="s">
        <v>562</v>
      </c>
      <c r="C236" s="1">
        <v>45888</v>
      </c>
      <c r="D236" t="s">
        <v>563</v>
      </c>
      <c r="E236" t="s">
        <v>72</v>
      </c>
      <c r="F236" t="s">
        <v>24</v>
      </c>
      <c r="G236">
        <v>33</v>
      </c>
      <c r="H236" t="s">
        <v>25</v>
      </c>
      <c r="I236" t="s">
        <v>26</v>
      </c>
      <c r="J236" t="s">
        <v>77</v>
      </c>
      <c r="K236" t="s">
        <v>28</v>
      </c>
      <c r="L236">
        <v>1</v>
      </c>
      <c r="M236">
        <v>196000</v>
      </c>
      <c r="N236">
        <v>2</v>
      </c>
      <c r="O236">
        <v>192080</v>
      </c>
      <c r="P236">
        <v>19040.740000000002</v>
      </c>
      <c r="Q236" t="s">
        <v>105</v>
      </c>
      <c r="R236" t="s">
        <v>38</v>
      </c>
      <c r="S236" t="s">
        <v>31</v>
      </c>
      <c r="T236" t="s">
        <v>32</v>
      </c>
    </row>
    <row r="237" spans="1:20" x14ac:dyDescent="0.25">
      <c r="A237" t="s">
        <v>20</v>
      </c>
      <c r="B237" t="s">
        <v>564</v>
      </c>
      <c r="C237" s="1">
        <v>45939</v>
      </c>
      <c r="D237" t="s">
        <v>565</v>
      </c>
      <c r="E237" t="s">
        <v>94</v>
      </c>
      <c r="F237" t="s">
        <v>24</v>
      </c>
      <c r="G237">
        <v>47</v>
      </c>
      <c r="H237" t="s">
        <v>25</v>
      </c>
      <c r="I237" t="s">
        <v>26</v>
      </c>
      <c r="J237" t="s">
        <v>81</v>
      </c>
      <c r="K237" t="s">
        <v>58</v>
      </c>
      <c r="L237">
        <v>1</v>
      </c>
      <c r="M237">
        <v>236000</v>
      </c>
      <c r="N237">
        <v>3</v>
      </c>
      <c r="O237">
        <v>228920</v>
      </c>
      <c r="P237">
        <v>24655.19</v>
      </c>
      <c r="Q237" t="s">
        <v>74</v>
      </c>
      <c r="R237" t="s">
        <v>96</v>
      </c>
      <c r="S237" t="s">
        <v>47</v>
      </c>
      <c r="T237" t="s">
        <v>40</v>
      </c>
    </row>
    <row r="238" spans="1:20" x14ac:dyDescent="0.25">
      <c r="A238" t="s">
        <v>20</v>
      </c>
      <c r="B238" t="s">
        <v>566</v>
      </c>
      <c r="C238" s="1">
        <v>46041</v>
      </c>
      <c r="D238" t="s">
        <v>567</v>
      </c>
      <c r="E238" t="s">
        <v>72</v>
      </c>
      <c r="F238" t="s">
        <v>24</v>
      </c>
      <c r="G238">
        <v>55</v>
      </c>
      <c r="H238" t="s">
        <v>95</v>
      </c>
      <c r="I238" t="s">
        <v>26</v>
      </c>
      <c r="J238" t="s">
        <v>36</v>
      </c>
      <c r="K238" t="s">
        <v>28</v>
      </c>
      <c r="L238">
        <v>1</v>
      </c>
      <c r="M238">
        <v>113000</v>
      </c>
      <c r="N238">
        <v>7</v>
      </c>
      <c r="O238">
        <v>105090</v>
      </c>
      <c r="P238">
        <v>3397.74</v>
      </c>
      <c r="Q238" t="s">
        <v>46</v>
      </c>
      <c r="R238" t="s">
        <v>30</v>
      </c>
      <c r="S238" t="s">
        <v>39</v>
      </c>
      <c r="T238" t="s">
        <v>40</v>
      </c>
    </row>
    <row r="239" spans="1:20" x14ac:dyDescent="0.25">
      <c r="A239" t="s">
        <v>20</v>
      </c>
      <c r="B239" t="s">
        <v>568</v>
      </c>
      <c r="C239" s="1">
        <v>45811</v>
      </c>
      <c r="D239" t="s">
        <v>569</v>
      </c>
      <c r="E239" t="s">
        <v>50</v>
      </c>
      <c r="F239" t="s">
        <v>55</v>
      </c>
      <c r="G239">
        <v>53</v>
      </c>
      <c r="H239" t="s">
        <v>51</v>
      </c>
      <c r="I239" t="s">
        <v>26</v>
      </c>
      <c r="J239" t="s">
        <v>451</v>
      </c>
      <c r="K239" t="s">
        <v>58</v>
      </c>
      <c r="L239">
        <v>1</v>
      </c>
      <c r="M239">
        <v>127000</v>
      </c>
      <c r="N239">
        <v>10</v>
      </c>
      <c r="O239">
        <v>114300</v>
      </c>
      <c r="P239">
        <v>10686.42</v>
      </c>
      <c r="Q239" t="s">
        <v>86</v>
      </c>
      <c r="R239" t="s">
        <v>96</v>
      </c>
      <c r="S239" t="s">
        <v>61</v>
      </c>
      <c r="T239" t="s">
        <v>32</v>
      </c>
    </row>
    <row r="240" spans="1:20" x14ac:dyDescent="0.25">
      <c r="A240" t="s">
        <v>20</v>
      </c>
      <c r="B240" t="s">
        <v>570</v>
      </c>
      <c r="C240" s="1">
        <v>45694</v>
      </c>
      <c r="D240" t="s">
        <v>571</v>
      </c>
      <c r="E240" t="s">
        <v>43</v>
      </c>
      <c r="F240" t="s">
        <v>55</v>
      </c>
      <c r="G240">
        <v>32</v>
      </c>
      <c r="H240" t="s">
        <v>51</v>
      </c>
      <c r="I240" t="s">
        <v>26</v>
      </c>
      <c r="J240" t="s">
        <v>57</v>
      </c>
      <c r="K240" t="s">
        <v>58</v>
      </c>
      <c r="L240">
        <v>1</v>
      </c>
      <c r="M240">
        <v>175000</v>
      </c>
      <c r="N240">
        <v>5</v>
      </c>
      <c r="O240">
        <v>166250</v>
      </c>
      <c r="P240">
        <v>21596.23</v>
      </c>
      <c r="Q240" t="s">
        <v>86</v>
      </c>
      <c r="R240" t="s">
        <v>60</v>
      </c>
      <c r="S240" t="s">
        <v>31</v>
      </c>
      <c r="T240" t="s">
        <v>32</v>
      </c>
    </row>
    <row r="241" spans="1:20" x14ac:dyDescent="0.25">
      <c r="A241" t="s">
        <v>20</v>
      </c>
      <c r="B241" t="s">
        <v>572</v>
      </c>
      <c r="C241" s="1">
        <v>46230</v>
      </c>
      <c r="D241" t="s">
        <v>573</v>
      </c>
      <c r="E241" t="s">
        <v>43</v>
      </c>
      <c r="F241" t="s">
        <v>55</v>
      </c>
      <c r="G241">
        <v>31</v>
      </c>
      <c r="H241" t="s">
        <v>108</v>
      </c>
      <c r="I241" t="s">
        <v>26</v>
      </c>
      <c r="J241" t="s">
        <v>104</v>
      </c>
      <c r="K241" t="s">
        <v>68</v>
      </c>
      <c r="L241">
        <v>1</v>
      </c>
      <c r="M241">
        <v>172000</v>
      </c>
      <c r="N241">
        <v>3</v>
      </c>
      <c r="O241">
        <v>166840</v>
      </c>
      <c r="P241">
        <v>17712.150000000001</v>
      </c>
      <c r="Q241" t="s">
        <v>86</v>
      </c>
      <c r="R241" t="s">
        <v>96</v>
      </c>
      <c r="S241" t="s">
        <v>61</v>
      </c>
      <c r="T241" t="s">
        <v>40</v>
      </c>
    </row>
    <row r="242" spans="1:20" x14ac:dyDescent="0.25">
      <c r="A242" t="s">
        <v>20</v>
      </c>
      <c r="B242" t="s">
        <v>574</v>
      </c>
      <c r="C242" s="1">
        <v>45778</v>
      </c>
      <c r="D242" t="s">
        <v>575</v>
      </c>
      <c r="E242" t="s">
        <v>80</v>
      </c>
      <c r="F242" t="s">
        <v>55</v>
      </c>
      <c r="G242">
        <v>0</v>
      </c>
      <c r="H242" t="s">
        <v>56</v>
      </c>
      <c r="I242" t="s">
        <v>26</v>
      </c>
      <c r="J242" t="s">
        <v>77</v>
      </c>
      <c r="K242" t="s">
        <v>58</v>
      </c>
      <c r="L242">
        <v>1</v>
      </c>
      <c r="M242">
        <v>196000</v>
      </c>
      <c r="N242">
        <v>3</v>
      </c>
      <c r="O242">
        <v>190120</v>
      </c>
      <c r="P242">
        <v>26332.35</v>
      </c>
      <c r="Q242" t="s">
        <v>52</v>
      </c>
      <c r="R242" t="s">
        <v>30</v>
      </c>
      <c r="S242" t="s">
        <v>61</v>
      </c>
      <c r="T242" t="s">
        <v>40</v>
      </c>
    </row>
    <row r="243" spans="1:20" x14ac:dyDescent="0.25">
      <c r="A243" t="s">
        <v>20</v>
      </c>
      <c r="B243" t="s">
        <v>576</v>
      </c>
      <c r="C243" s="1">
        <v>46008</v>
      </c>
      <c r="D243" t="s">
        <v>577</v>
      </c>
      <c r="E243" t="s">
        <v>35</v>
      </c>
      <c r="F243" t="s">
        <v>55</v>
      </c>
      <c r="G243">
        <v>46</v>
      </c>
      <c r="H243" t="s">
        <v>51</v>
      </c>
      <c r="I243" t="s">
        <v>26</v>
      </c>
      <c r="J243" t="s">
        <v>36</v>
      </c>
      <c r="K243" t="s">
        <v>101</v>
      </c>
      <c r="L243">
        <v>1</v>
      </c>
      <c r="M243">
        <v>114000</v>
      </c>
      <c r="N243">
        <v>2</v>
      </c>
      <c r="O243">
        <v>111720</v>
      </c>
      <c r="P243">
        <v>9224.68</v>
      </c>
      <c r="Q243" t="s">
        <v>37</v>
      </c>
      <c r="R243" t="s">
        <v>30</v>
      </c>
      <c r="S243" t="s">
        <v>47</v>
      </c>
      <c r="T243" t="s">
        <v>40</v>
      </c>
    </row>
    <row r="244" spans="1:20" x14ac:dyDescent="0.25">
      <c r="A244" t="s">
        <v>20</v>
      </c>
      <c r="B244" t="s">
        <v>578</v>
      </c>
      <c r="C244" s="1">
        <v>45830</v>
      </c>
      <c r="D244" t="s">
        <v>579</v>
      </c>
      <c r="E244" t="s">
        <v>35</v>
      </c>
      <c r="F244" t="s">
        <v>55</v>
      </c>
      <c r="G244">
        <v>30</v>
      </c>
      <c r="H244" t="s">
        <v>56</v>
      </c>
      <c r="I244" t="s">
        <v>26</v>
      </c>
      <c r="J244" t="s">
        <v>213</v>
      </c>
      <c r="K244" t="s">
        <v>68</v>
      </c>
      <c r="L244">
        <v>1</v>
      </c>
      <c r="M244">
        <v>96000</v>
      </c>
      <c r="N244">
        <v>5</v>
      </c>
      <c r="O244">
        <v>91200</v>
      </c>
      <c r="P244">
        <v>13168.96</v>
      </c>
      <c r="Q244" t="s">
        <v>59</v>
      </c>
      <c r="R244" t="s">
        <v>38</v>
      </c>
      <c r="S244" t="s">
        <v>47</v>
      </c>
      <c r="T244" t="s">
        <v>40</v>
      </c>
    </row>
    <row r="245" spans="1:20" x14ac:dyDescent="0.25">
      <c r="A245" t="s">
        <v>20</v>
      </c>
      <c r="B245" t="s">
        <v>580</v>
      </c>
      <c r="C245" s="1">
        <v>45672</v>
      </c>
      <c r="D245" t="s">
        <v>581</v>
      </c>
      <c r="E245" t="s">
        <v>50</v>
      </c>
      <c r="F245" t="s">
        <v>55</v>
      </c>
      <c r="G245">
        <v>40</v>
      </c>
      <c r="H245" t="s">
        <v>95</v>
      </c>
      <c r="I245" t="s">
        <v>26</v>
      </c>
      <c r="J245" t="s">
        <v>57</v>
      </c>
      <c r="K245" t="s">
        <v>28</v>
      </c>
      <c r="L245">
        <v>1</v>
      </c>
      <c r="M245">
        <v>176000</v>
      </c>
      <c r="N245">
        <v>2</v>
      </c>
      <c r="O245">
        <v>172480</v>
      </c>
      <c r="P245">
        <v>19768.48</v>
      </c>
      <c r="Q245" t="s">
        <v>52</v>
      </c>
      <c r="R245" t="s">
        <v>96</v>
      </c>
      <c r="S245" t="s">
        <v>61</v>
      </c>
      <c r="T245" t="s">
        <v>40</v>
      </c>
    </row>
    <row r="246" spans="1:20" x14ac:dyDescent="0.25">
      <c r="A246" t="s">
        <v>20</v>
      </c>
      <c r="B246" t="s">
        <v>582</v>
      </c>
      <c r="C246" s="1">
        <v>45724</v>
      </c>
      <c r="D246" t="s">
        <v>583</v>
      </c>
      <c r="E246" t="s">
        <v>72</v>
      </c>
      <c r="F246" t="s">
        <v>24</v>
      </c>
      <c r="G246">
        <v>22</v>
      </c>
      <c r="H246" t="s">
        <v>73</v>
      </c>
      <c r="I246" t="s">
        <v>26</v>
      </c>
      <c r="J246" t="s">
        <v>104</v>
      </c>
      <c r="K246" t="s">
        <v>58</v>
      </c>
      <c r="L246">
        <v>1</v>
      </c>
      <c r="M246">
        <v>171000</v>
      </c>
      <c r="N246">
        <v>7</v>
      </c>
      <c r="O246">
        <v>159030</v>
      </c>
      <c r="P246">
        <v>19368.52</v>
      </c>
      <c r="Q246" t="s">
        <v>86</v>
      </c>
      <c r="R246" t="s">
        <v>38</v>
      </c>
      <c r="S246" t="s">
        <v>61</v>
      </c>
      <c r="T246" t="s">
        <v>32</v>
      </c>
    </row>
    <row r="247" spans="1:20" x14ac:dyDescent="0.25">
      <c r="A247" t="s">
        <v>20</v>
      </c>
      <c r="B247" t="s">
        <v>584</v>
      </c>
      <c r="C247" s="1">
        <v>46071</v>
      </c>
      <c r="D247" t="s">
        <v>585</v>
      </c>
      <c r="E247" t="s">
        <v>50</v>
      </c>
      <c r="F247" t="s">
        <v>55</v>
      </c>
      <c r="G247">
        <v>21</v>
      </c>
      <c r="H247" t="s">
        <v>85</v>
      </c>
      <c r="I247" t="s">
        <v>26</v>
      </c>
      <c r="J247" t="s">
        <v>64</v>
      </c>
      <c r="K247" t="s">
        <v>68</v>
      </c>
      <c r="L247">
        <v>1</v>
      </c>
      <c r="M247">
        <v>124000</v>
      </c>
      <c r="N247">
        <v>2</v>
      </c>
      <c r="O247">
        <v>121520</v>
      </c>
      <c r="P247">
        <v>10692.5</v>
      </c>
      <c r="Q247" t="s">
        <v>52</v>
      </c>
      <c r="R247" t="s">
        <v>30</v>
      </c>
      <c r="S247" t="s">
        <v>87</v>
      </c>
      <c r="T247" t="s">
        <v>32</v>
      </c>
    </row>
    <row r="248" spans="1:20" x14ac:dyDescent="0.25">
      <c r="A248" t="s">
        <v>20</v>
      </c>
      <c r="B248" t="s">
        <v>586</v>
      </c>
      <c r="C248" s="1">
        <v>45919</v>
      </c>
      <c r="D248" t="s">
        <v>587</v>
      </c>
      <c r="E248" t="s">
        <v>80</v>
      </c>
      <c r="F248" t="s">
        <v>55</v>
      </c>
      <c r="G248">
        <v>54</v>
      </c>
      <c r="H248" t="s">
        <v>56</v>
      </c>
      <c r="I248" t="s">
        <v>26</v>
      </c>
      <c r="J248" t="s">
        <v>121</v>
      </c>
      <c r="K248" t="s">
        <v>28</v>
      </c>
      <c r="L248">
        <v>1</v>
      </c>
      <c r="M248">
        <v>93000</v>
      </c>
      <c r="N248">
        <v>5</v>
      </c>
      <c r="O248">
        <v>88350</v>
      </c>
      <c r="P248">
        <v>6027.77</v>
      </c>
      <c r="Q248" t="s">
        <v>105</v>
      </c>
      <c r="R248" t="s">
        <v>30</v>
      </c>
      <c r="S248" t="s">
        <v>61</v>
      </c>
      <c r="T248" t="s">
        <v>32</v>
      </c>
    </row>
    <row r="249" spans="1:20" x14ac:dyDescent="0.25">
      <c r="A249" t="s">
        <v>20</v>
      </c>
      <c r="B249" t="s">
        <v>588</v>
      </c>
      <c r="C249" s="1">
        <v>45814</v>
      </c>
      <c r="D249" t="s">
        <v>589</v>
      </c>
      <c r="E249" t="s">
        <v>80</v>
      </c>
      <c r="F249" t="s">
        <v>24</v>
      </c>
      <c r="G249">
        <v>33</v>
      </c>
      <c r="H249" t="s">
        <v>85</v>
      </c>
      <c r="I249" t="s">
        <v>26</v>
      </c>
      <c r="J249" t="s">
        <v>77</v>
      </c>
      <c r="K249" t="s">
        <v>58</v>
      </c>
      <c r="L249">
        <v>1</v>
      </c>
      <c r="M249">
        <v>196000</v>
      </c>
      <c r="N249">
        <v>3</v>
      </c>
      <c r="O249">
        <v>190120</v>
      </c>
      <c r="P249">
        <v>26082.2</v>
      </c>
      <c r="Q249" t="s">
        <v>82</v>
      </c>
      <c r="R249" t="s">
        <v>60</v>
      </c>
      <c r="S249" t="s">
        <v>87</v>
      </c>
      <c r="T249" t="s">
        <v>32</v>
      </c>
    </row>
    <row r="250" spans="1:20" x14ac:dyDescent="0.25">
      <c r="A250" t="s">
        <v>20</v>
      </c>
      <c r="B250" t="s">
        <v>590</v>
      </c>
      <c r="C250" s="1">
        <v>45766</v>
      </c>
      <c r="D250" t="s">
        <v>591</v>
      </c>
      <c r="E250" t="s">
        <v>592</v>
      </c>
      <c r="F250" t="s">
        <v>55</v>
      </c>
      <c r="G250">
        <v>51</v>
      </c>
      <c r="H250" t="s">
        <v>108</v>
      </c>
      <c r="I250" t="s">
        <v>26</v>
      </c>
      <c r="J250" t="s">
        <v>77</v>
      </c>
      <c r="K250" t="s">
        <v>101</v>
      </c>
      <c r="L250">
        <v>1</v>
      </c>
      <c r="M250">
        <v>196000</v>
      </c>
      <c r="N250">
        <v>0</v>
      </c>
      <c r="O250">
        <v>196000</v>
      </c>
      <c r="P250">
        <v>36470.74</v>
      </c>
      <c r="Q250" t="s">
        <v>52</v>
      </c>
      <c r="R250" t="s">
        <v>60</v>
      </c>
      <c r="S250" t="s">
        <v>61</v>
      </c>
      <c r="T250" t="s">
        <v>40</v>
      </c>
    </row>
    <row r="251" spans="1:20" x14ac:dyDescent="0.25">
      <c r="A251" t="s">
        <v>20</v>
      </c>
      <c r="B251" t="s">
        <v>593</v>
      </c>
      <c r="C251" s="1">
        <v>46150</v>
      </c>
      <c r="D251" t="s">
        <v>594</v>
      </c>
      <c r="E251" t="s">
        <v>50</v>
      </c>
      <c r="F251" t="s">
        <v>55</v>
      </c>
      <c r="G251">
        <v>41</v>
      </c>
      <c r="H251" t="s">
        <v>73</v>
      </c>
      <c r="I251" t="s">
        <v>26</v>
      </c>
      <c r="J251" t="s">
        <v>104</v>
      </c>
      <c r="K251" t="s">
        <v>28</v>
      </c>
      <c r="L251">
        <v>1</v>
      </c>
      <c r="M251">
        <v>170000</v>
      </c>
      <c r="N251">
        <v>2</v>
      </c>
      <c r="O251">
        <v>166600</v>
      </c>
      <c r="P251">
        <v>19960.64</v>
      </c>
      <c r="Q251" t="s">
        <v>82</v>
      </c>
      <c r="R251" t="s">
        <v>30</v>
      </c>
      <c r="S251" t="s">
        <v>87</v>
      </c>
      <c r="T251" t="s">
        <v>40</v>
      </c>
    </row>
    <row r="252" spans="1:20" x14ac:dyDescent="0.25">
      <c r="A252" t="s">
        <v>20</v>
      </c>
      <c r="B252" t="s">
        <v>595</v>
      </c>
      <c r="C252" s="1">
        <v>45920</v>
      </c>
      <c r="D252" t="s">
        <v>596</v>
      </c>
      <c r="E252" t="s">
        <v>35</v>
      </c>
      <c r="F252" t="s">
        <v>24</v>
      </c>
      <c r="G252">
        <v>34</v>
      </c>
      <c r="H252" t="s">
        <v>108</v>
      </c>
      <c r="I252" t="s">
        <v>26</v>
      </c>
      <c r="J252" t="s">
        <v>45</v>
      </c>
      <c r="K252" t="s">
        <v>101</v>
      </c>
      <c r="L252">
        <v>1</v>
      </c>
      <c r="M252">
        <v>96000</v>
      </c>
      <c r="N252">
        <v>10</v>
      </c>
      <c r="O252">
        <v>86400</v>
      </c>
      <c r="P252">
        <v>3184.4</v>
      </c>
      <c r="Q252" t="s">
        <v>46</v>
      </c>
      <c r="R252" t="s">
        <v>30</v>
      </c>
      <c r="S252" t="s">
        <v>69</v>
      </c>
      <c r="T252" t="s">
        <v>32</v>
      </c>
    </row>
    <row r="253" spans="1:20" x14ac:dyDescent="0.25">
      <c r="A253" t="s">
        <v>20</v>
      </c>
      <c r="B253" t="s">
        <v>597</v>
      </c>
      <c r="C253" s="1">
        <v>45776</v>
      </c>
      <c r="D253" t="s">
        <v>598</v>
      </c>
      <c r="E253" t="s">
        <v>80</v>
      </c>
      <c r="F253" t="s">
        <v>55</v>
      </c>
      <c r="G253">
        <v>26</v>
      </c>
      <c r="H253" t="s">
        <v>51</v>
      </c>
      <c r="I253" t="s">
        <v>26</v>
      </c>
      <c r="J253" t="s">
        <v>118</v>
      </c>
      <c r="K253" t="s">
        <v>68</v>
      </c>
      <c r="L253">
        <v>1</v>
      </c>
      <c r="M253">
        <v>87000</v>
      </c>
      <c r="N253">
        <v>3</v>
      </c>
      <c r="O253">
        <v>84390</v>
      </c>
      <c r="P253">
        <v>12082.61</v>
      </c>
      <c r="Q253" t="s">
        <v>37</v>
      </c>
      <c r="R253" t="s">
        <v>60</v>
      </c>
      <c r="S253" t="s">
        <v>39</v>
      </c>
      <c r="T253" t="s">
        <v>40</v>
      </c>
    </row>
    <row r="254" spans="1:20" x14ac:dyDescent="0.25">
      <c r="A254" t="s">
        <v>20</v>
      </c>
      <c r="B254" t="s">
        <v>599</v>
      </c>
      <c r="C254" s="1">
        <v>45845</v>
      </c>
      <c r="D254" t="s">
        <v>600</v>
      </c>
      <c r="E254" t="s">
        <v>94</v>
      </c>
      <c r="F254" t="s">
        <v>24</v>
      </c>
      <c r="G254">
        <v>27</v>
      </c>
      <c r="H254" t="s">
        <v>51</v>
      </c>
      <c r="I254" t="s">
        <v>26</v>
      </c>
      <c r="J254" t="s">
        <v>81</v>
      </c>
      <c r="K254" t="s">
        <v>58</v>
      </c>
      <c r="L254">
        <v>2</v>
      </c>
      <c r="M254">
        <v>233000</v>
      </c>
      <c r="N254">
        <v>3</v>
      </c>
      <c r="O254">
        <v>452020</v>
      </c>
      <c r="P254">
        <v>42967.199999999997</v>
      </c>
      <c r="Q254" t="s">
        <v>74</v>
      </c>
      <c r="R254" t="s">
        <v>38</v>
      </c>
      <c r="S254" t="s">
        <v>61</v>
      </c>
      <c r="T254" t="s">
        <v>40</v>
      </c>
    </row>
    <row r="255" spans="1:20" x14ac:dyDescent="0.25">
      <c r="A255" t="s">
        <v>20</v>
      </c>
      <c r="B255" t="s">
        <v>601</v>
      </c>
      <c r="C255" s="1">
        <v>45821</v>
      </c>
      <c r="D255" t="s">
        <v>602</v>
      </c>
      <c r="E255" t="s">
        <v>94</v>
      </c>
      <c r="F255" t="s">
        <v>24</v>
      </c>
      <c r="G255">
        <v>0</v>
      </c>
      <c r="H255" t="s">
        <v>73</v>
      </c>
      <c r="I255" t="s">
        <v>26</v>
      </c>
      <c r="J255" t="s">
        <v>77</v>
      </c>
      <c r="K255" t="s">
        <v>58</v>
      </c>
      <c r="L255">
        <v>1</v>
      </c>
      <c r="M255">
        <v>197000</v>
      </c>
      <c r="N255">
        <v>10</v>
      </c>
      <c r="O255">
        <v>177300</v>
      </c>
      <c r="P255">
        <v>22253.599999999999</v>
      </c>
      <c r="Q255" t="s">
        <v>37</v>
      </c>
      <c r="R255" t="s">
        <v>38</v>
      </c>
      <c r="S255" t="s">
        <v>39</v>
      </c>
      <c r="T255" t="s">
        <v>32</v>
      </c>
    </row>
    <row r="256" spans="1:20" x14ac:dyDescent="0.25">
      <c r="A256" t="s">
        <v>20</v>
      </c>
      <c r="B256" t="s">
        <v>603</v>
      </c>
      <c r="C256" s="1">
        <v>45722</v>
      </c>
      <c r="D256" t="s">
        <v>604</v>
      </c>
      <c r="E256" t="s">
        <v>43</v>
      </c>
      <c r="F256" t="s">
        <v>55</v>
      </c>
      <c r="G256">
        <v>36</v>
      </c>
      <c r="H256" t="s">
        <v>85</v>
      </c>
      <c r="I256" t="s">
        <v>26</v>
      </c>
      <c r="J256" t="s">
        <v>45</v>
      </c>
      <c r="K256" t="s">
        <v>68</v>
      </c>
      <c r="L256">
        <v>2</v>
      </c>
      <c r="M256">
        <v>96000</v>
      </c>
      <c r="N256">
        <v>5</v>
      </c>
      <c r="O256">
        <v>182400</v>
      </c>
      <c r="P256">
        <v>22486.55</v>
      </c>
      <c r="Q256" t="s">
        <v>86</v>
      </c>
      <c r="R256" t="s">
        <v>30</v>
      </c>
      <c r="S256" t="s">
        <v>47</v>
      </c>
      <c r="T256" t="s">
        <v>32</v>
      </c>
    </row>
    <row r="257" spans="1:20" x14ac:dyDescent="0.25">
      <c r="A257" t="s">
        <v>20</v>
      </c>
      <c r="B257" t="s">
        <v>605</v>
      </c>
      <c r="C257" s="1">
        <v>46229</v>
      </c>
      <c r="D257" t="s">
        <v>606</v>
      </c>
      <c r="E257" t="s">
        <v>80</v>
      </c>
      <c r="F257" t="s">
        <v>55</v>
      </c>
      <c r="G257">
        <v>23</v>
      </c>
      <c r="H257" t="s">
        <v>56</v>
      </c>
      <c r="I257" t="s">
        <v>26</v>
      </c>
      <c r="J257" t="s">
        <v>57</v>
      </c>
      <c r="K257" t="s">
        <v>58</v>
      </c>
      <c r="L257">
        <v>1</v>
      </c>
      <c r="M257">
        <v>177000</v>
      </c>
      <c r="N257">
        <v>5</v>
      </c>
      <c r="O257">
        <v>168150</v>
      </c>
      <c r="P257">
        <v>26932.58</v>
      </c>
      <c r="Q257" t="s">
        <v>46</v>
      </c>
      <c r="R257" t="s">
        <v>96</v>
      </c>
      <c r="S257" t="s">
        <v>69</v>
      </c>
      <c r="T257" t="s">
        <v>40</v>
      </c>
    </row>
    <row r="258" spans="1:20" x14ac:dyDescent="0.25">
      <c r="A258" t="s">
        <v>20</v>
      </c>
      <c r="B258" t="s">
        <v>607</v>
      </c>
      <c r="C258" s="1">
        <v>46221</v>
      </c>
      <c r="D258" t="s">
        <v>608</v>
      </c>
      <c r="E258" t="s">
        <v>94</v>
      </c>
      <c r="F258" t="s">
        <v>55</v>
      </c>
      <c r="G258">
        <v>44</v>
      </c>
      <c r="H258" t="s">
        <v>44</v>
      </c>
      <c r="I258" t="s">
        <v>26</v>
      </c>
      <c r="J258" t="s">
        <v>237</v>
      </c>
      <c r="K258" t="s">
        <v>28</v>
      </c>
      <c r="L258">
        <v>1</v>
      </c>
      <c r="M258">
        <v>125000</v>
      </c>
      <c r="N258">
        <v>0</v>
      </c>
      <c r="O258">
        <v>125000</v>
      </c>
      <c r="P258">
        <v>19896.060000000001</v>
      </c>
      <c r="Q258" t="s">
        <v>46</v>
      </c>
      <c r="R258" t="s">
        <v>38</v>
      </c>
      <c r="S258" t="s">
        <v>87</v>
      </c>
      <c r="T258" t="s">
        <v>40</v>
      </c>
    </row>
    <row r="259" spans="1:20" x14ac:dyDescent="0.25">
      <c r="A259" t="s">
        <v>20</v>
      </c>
      <c r="B259" t="s">
        <v>609</v>
      </c>
      <c r="C259" s="1">
        <v>45676</v>
      </c>
      <c r="D259" t="s">
        <v>610</v>
      </c>
      <c r="E259" t="s">
        <v>94</v>
      </c>
      <c r="F259" t="s">
        <v>24</v>
      </c>
      <c r="G259">
        <v>26</v>
      </c>
      <c r="H259" t="s">
        <v>85</v>
      </c>
      <c r="I259" t="s">
        <v>26</v>
      </c>
      <c r="J259" t="s">
        <v>27</v>
      </c>
      <c r="K259" t="s">
        <v>28</v>
      </c>
      <c r="L259">
        <v>1</v>
      </c>
      <c r="M259">
        <v>93000</v>
      </c>
      <c r="N259">
        <v>5</v>
      </c>
      <c r="O259">
        <v>88350</v>
      </c>
      <c r="P259">
        <v>7493.13</v>
      </c>
      <c r="Q259" t="s">
        <v>105</v>
      </c>
      <c r="R259" t="s">
        <v>30</v>
      </c>
      <c r="S259" t="s">
        <v>87</v>
      </c>
      <c r="T259" t="s">
        <v>40</v>
      </c>
    </row>
    <row r="260" spans="1:20" x14ac:dyDescent="0.25">
      <c r="A260" t="s">
        <v>20</v>
      </c>
      <c r="B260" t="s">
        <v>611</v>
      </c>
      <c r="C260" s="1">
        <v>45713</v>
      </c>
      <c r="D260" t="s">
        <v>612</v>
      </c>
      <c r="E260" t="s">
        <v>35</v>
      </c>
      <c r="F260" t="s">
        <v>24</v>
      </c>
      <c r="G260">
        <v>34</v>
      </c>
      <c r="H260" t="s">
        <v>44</v>
      </c>
      <c r="I260" t="s">
        <v>26</v>
      </c>
      <c r="J260" t="s">
        <v>36</v>
      </c>
      <c r="K260" t="s">
        <v>58</v>
      </c>
      <c r="L260">
        <v>1</v>
      </c>
      <c r="M260">
        <v>115000</v>
      </c>
      <c r="N260">
        <v>3</v>
      </c>
      <c r="O260">
        <v>111550</v>
      </c>
      <c r="P260">
        <v>16835.87</v>
      </c>
      <c r="Q260" t="s">
        <v>86</v>
      </c>
      <c r="R260" t="s">
        <v>38</v>
      </c>
      <c r="S260" t="s">
        <v>69</v>
      </c>
      <c r="T260" t="s">
        <v>32</v>
      </c>
    </row>
    <row r="261" spans="1:20" x14ac:dyDescent="0.25">
      <c r="A261" t="s">
        <v>20</v>
      </c>
      <c r="B261" t="s">
        <v>613</v>
      </c>
      <c r="C261" s="1">
        <v>46040</v>
      </c>
      <c r="D261" t="s">
        <v>614</v>
      </c>
      <c r="E261" t="s">
        <v>80</v>
      </c>
      <c r="F261" t="s">
        <v>55</v>
      </c>
      <c r="G261">
        <v>26</v>
      </c>
      <c r="H261" t="s">
        <v>25</v>
      </c>
      <c r="I261" t="s">
        <v>26</v>
      </c>
      <c r="J261" t="s">
        <v>111</v>
      </c>
      <c r="K261" t="s">
        <v>58</v>
      </c>
      <c r="L261">
        <v>1</v>
      </c>
      <c r="M261">
        <v>127000</v>
      </c>
      <c r="N261">
        <v>3</v>
      </c>
      <c r="O261">
        <v>123190</v>
      </c>
      <c r="P261">
        <v>15783.2</v>
      </c>
      <c r="Q261" t="s">
        <v>37</v>
      </c>
      <c r="R261" t="s">
        <v>38</v>
      </c>
      <c r="S261" t="s">
        <v>69</v>
      </c>
      <c r="T261" t="s">
        <v>40</v>
      </c>
    </row>
    <row r="262" spans="1:20" x14ac:dyDescent="0.25">
      <c r="A262" t="s">
        <v>20</v>
      </c>
      <c r="B262" t="s">
        <v>615</v>
      </c>
      <c r="C262" s="1">
        <v>45853</v>
      </c>
      <c r="D262" t="s">
        <v>616</v>
      </c>
      <c r="E262" t="s">
        <v>23</v>
      </c>
      <c r="F262" t="s">
        <v>24</v>
      </c>
      <c r="G262">
        <v>41</v>
      </c>
      <c r="H262" t="s">
        <v>44</v>
      </c>
      <c r="I262" t="s">
        <v>26</v>
      </c>
      <c r="J262" t="s">
        <v>81</v>
      </c>
      <c r="K262" t="s">
        <v>28</v>
      </c>
      <c r="L262">
        <v>1</v>
      </c>
      <c r="M262">
        <v>235000</v>
      </c>
      <c r="N262">
        <v>2</v>
      </c>
      <c r="O262">
        <v>230300</v>
      </c>
      <c r="P262">
        <v>34111.300000000003</v>
      </c>
      <c r="Q262" t="s">
        <v>82</v>
      </c>
      <c r="R262" t="s">
        <v>38</v>
      </c>
      <c r="S262" t="s">
        <v>47</v>
      </c>
      <c r="T262" t="s">
        <v>32</v>
      </c>
    </row>
    <row r="263" spans="1:20" x14ac:dyDescent="0.25">
      <c r="A263" t="s">
        <v>20</v>
      </c>
      <c r="B263" t="s">
        <v>617</v>
      </c>
      <c r="C263" s="1">
        <v>46257</v>
      </c>
      <c r="D263" t="s">
        <v>618</v>
      </c>
      <c r="E263" t="s">
        <v>129</v>
      </c>
      <c r="F263" t="s">
        <v>55</v>
      </c>
      <c r="G263">
        <v>50</v>
      </c>
      <c r="H263" t="s">
        <v>25</v>
      </c>
      <c r="I263" t="s">
        <v>26</v>
      </c>
      <c r="J263" t="s">
        <v>57</v>
      </c>
      <c r="K263" t="s">
        <v>68</v>
      </c>
      <c r="L263">
        <v>1</v>
      </c>
      <c r="M263">
        <v>173000</v>
      </c>
      <c r="N263">
        <v>7</v>
      </c>
      <c r="O263">
        <v>160890</v>
      </c>
      <c r="P263">
        <v>6533</v>
      </c>
      <c r="Q263" t="s">
        <v>82</v>
      </c>
      <c r="R263" t="s">
        <v>38</v>
      </c>
      <c r="S263" t="s">
        <v>61</v>
      </c>
      <c r="T263" t="s">
        <v>40</v>
      </c>
    </row>
    <row r="264" spans="1:20" x14ac:dyDescent="0.25">
      <c r="A264" t="s">
        <v>20</v>
      </c>
      <c r="B264" t="s">
        <v>619</v>
      </c>
      <c r="C264" s="1">
        <v>45938</v>
      </c>
      <c r="D264" t="s">
        <v>620</v>
      </c>
      <c r="E264" t="s">
        <v>43</v>
      </c>
      <c r="F264" t="s">
        <v>24</v>
      </c>
      <c r="G264">
        <v>45</v>
      </c>
      <c r="H264" t="s">
        <v>95</v>
      </c>
      <c r="I264" t="s">
        <v>26</v>
      </c>
      <c r="J264" t="s">
        <v>36</v>
      </c>
      <c r="K264" t="s">
        <v>58</v>
      </c>
      <c r="L264">
        <v>1</v>
      </c>
      <c r="M264">
        <v>116000</v>
      </c>
      <c r="N264">
        <v>10</v>
      </c>
      <c r="O264">
        <v>104400</v>
      </c>
      <c r="P264">
        <v>3307.74</v>
      </c>
      <c r="Q264" t="s">
        <v>37</v>
      </c>
      <c r="R264" t="s">
        <v>96</v>
      </c>
      <c r="S264" t="s">
        <v>47</v>
      </c>
      <c r="T264" t="s">
        <v>40</v>
      </c>
    </row>
    <row r="265" spans="1:20" x14ac:dyDescent="0.25">
      <c r="A265" t="s">
        <v>20</v>
      </c>
      <c r="B265" t="s">
        <v>621</v>
      </c>
      <c r="C265" s="1">
        <v>45872</v>
      </c>
      <c r="D265" t="s">
        <v>622</v>
      </c>
      <c r="E265" t="s">
        <v>43</v>
      </c>
      <c r="F265" t="s">
        <v>55</v>
      </c>
      <c r="G265">
        <v>38</v>
      </c>
      <c r="H265" t="s">
        <v>56</v>
      </c>
      <c r="I265" t="s">
        <v>26</v>
      </c>
      <c r="J265" t="s">
        <v>36</v>
      </c>
      <c r="K265" t="s">
        <v>68</v>
      </c>
      <c r="L265">
        <v>1</v>
      </c>
      <c r="M265">
        <v>116000</v>
      </c>
      <c r="N265">
        <v>10</v>
      </c>
      <c r="O265">
        <v>104400</v>
      </c>
      <c r="P265">
        <v>10894.59</v>
      </c>
      <c r="Q265" t="s">
        <v>86</v>
      </c>
      <c r="R265" t="s">
        <v>30</v>
      </c>
      <c r="S265" t="s">
        <v>39</v>
      </c>
      <c r="T265" t="s">
        <v>40</v>
      </c>
    </row>
    <row r="266" spans="1:20" x14ac:dyDescent="0.25">
      <c r="A266" t="s">
        <v>20</v>
      </c>
      <c r="B266" t="s">
        <v>623</v>
      </c>
      <c r="C266" s="1">
        <v>46090</v>
      </c>
      <c r="D266" t="s">
        <v>624</v>
      </c>
      <c r="E266" t="s">
        <v>23</v>
      </c>
      <c r="F266" t="s">
        <v>55</v>
      </c>
      <c r="G266">
        <v>20</v>
      </c>
      <c r="H266" t="s">
        <v>95</v>
      </c>
      <c r="I266" t="s">
        <v>26</v>
      </c>
      <c r="J266" t="s">
        <v>81</v>
      </c>
      <c r="K266" t="s">
        <v>58</v>
      </c>
      <c r="L266">
        <v>1</v>
      </c>
      <c r="M266">
        <v>236000</v>
      </c>
      <c r="N266">
        <v>3</v>
      </c>
      <c r="O266">
        <v>228920</v>
      </c>
      <c r="P266">
        <v>19989.84</v>
      </c>
      <c r="Q266" t="s">
        <v>37</v>
      </c>
      <c r="R266" t="s">
        <v>30</v>
      </c>
      <c r="S266" t="s">
        <v>61</v>
      </c>
      <c r="T266" t="s">
        <v>32</v>
      </c>
    </row>
    <row r="267" spans="1:20" x14ac:dyDescent="0.25">
      <c r="A267" t="s">
        <v>20</v>
      </c>
      <c r="B267" t="s">
        <v>625</v>
      </c>
      <c r="C267" s="1">
        <v>45807</v>
      </c>
      <c r="D267" t="s">
        <v>626</v>
      </c>
      <c r="E267" t="s">
        <v>72</v>
      </c>
      <c r="F267" t="s">
        <v>55</v>
      </c>
      <c r="G267">
        <v>23</v>
      </c>
      <c r="H267" t="s">
        <v>51</v>
      </c>
      <c r="I267" t="s">
        <v>26</v>
      </c>
      <c r="J267" t="s">
        <v>111</v>
      </c>
      <c r="K267" t="s">
        <v>28</v>
      </c>
      <c r="L267">
        <v>1</v>
      </c>
      <c r="M267">
        <v>124000</v>
      </c>
      <c r="N267">
        <v>3</v>
      </c>
      <c r="O267">
        <v>120280</v>
      </c>
      <c r="P267">
        <v>13391.15</v>
      </c>
      <c r="Q267" t="s">
        <v>86</v>
      </c>
      <c r="R267" t="s">
        <v>38</v>
      </c>
      <c r="S267" t="s">
        <v>69</v>
      </c>
      <c r="T267" t="s">
        <v>32</v>
      </c>
    </row>
    <row r="268" spans="1:20" x14ac:dyDescent="0.25">
      <c r="A268" t="s">
        <v>20</v>
      </c>
      <c r="B268" t="s">
        <v>627</v>
      </c>
      <c r="C268" s="1">
        <v>45706</v>
      </c>
      <c r="D268" t="s">
        <v>628</v>
      </c>
      <c r="E268" t="s">
        <v>94</v>
      </c>
      <c r="F268" t="s">
        <v>24</v>
      </c>
      <c r="G268">
        <v>0</v>
      </c>
      <c r="H268" t="s">
        <v>95</v>
      </c>
      <c r="I268" t="s">
        <v>26</v>
      </c>
      <c r="J268" t="s">
        <v>36</v>
      </c>
      <c r="K268" t="s">
        <v>101</v>
      </c>
      <c r="L268">
        <v>1</v>
      </c>
      <c r="M268">
        <v>117000</v>
      </c>
      <c r="N268">
        <v>3</v>
      </c>
      <c r="O268">
        <v>113490</v>
      </c>
      <c r="P268">
        <v>12501.18</v>
      </c>
      <c r="Q268" t="s">
        <v>105</v>
      </c>
      <c r="R268" t="s">
        <v>30</v>
      </c>
      <c r="S268" t="s">
        <v>61</v>
      </c>
      <c r="T268" t="s">
        <v>40</v>
      </c>
    </row>
    <row r="269" spans="1:20" x14ac:dyDescent="0.25">
      <c r="A269" t="s">
        <v>20</v>
      </c>
      <c r="B269" t="s">
        <v>629</v>
      </c>
      <c r="C269" s="1">
        <v>46034</v>
      </c>
      <c r="D269" t="s">
        <v>630</v>
      </c>
      <c r="E269" t="s">
        <v>50</v>
      </c>
      <c r="F269" t="s">
        <v>55</v>
      </c>
      <c r="G269">
        <v>54</v>
      </c>
      <c r="H269" t="s">
        <v>85</v>
      </c>
      <c r="I269" t="s">
        <v>26</v>
      </c>
      <c r="J269" t="s">
        <v>111</v>
      </c>
      <c r="K269" t="s">
        <v>101</v>
      </c>
      <c r="L269">
        <v>1</v>
      </c>
      <c r="M269">
        <v>127000</v>
      </c>
      <c r="N269">
        <v>10</v>
      </c>
      <c r="O269">
        <v>114300</v>
      </c>
      <c r="P269">
        <v>4426.53</v>
      </c>
      <c r="Q269" t="s">
        <v>46</v>
      </c>
      <c r="R269" t="s">
        <v>96</v>
      </c>
      <c r="S269" t="s">
        <v>61</v>
      </c>
      <c r="T269" t="s">
        <v>32</v>
      </c>
    </row>
    <row r="270" spans="1:20" x14ac:dyDescent="0.25">
      <c r="A270" t="s">
        <v>20</v>
      </c>
      <c r="B270" t="s">
        <v>631</v>
      </c>
      <c r="C270" s="1">
        <v>45943</v>
      </c>
      <c r="D270" t="s">
        <v>632</v>
      </c>
      <c r="E270" t="s">
        <v>72</v>
      </c>
      <c r="F270" t="s">
        <v>55</v>
      </c>
      <c r="G270">
        <v>55</v>
      </c>
      <c r="H270" t="s">
        <v>73</v>
      </c>
      <c r="I270" t="s">
        <v>26</v>
      </c>
      <c r="J270" t="s">
        <v>45</v>
      </c>
      <c r="K270" t="s">
        <v>68</v>
      </c>
      <c r="L270">
        <v>1</v>
      </c>
      <c r="M270">
        <v>96000</v>
      </c>
      <c r="N270">
        <v>5</v>
      </c>
      <c r="O270">
        <v>91200</v>
      </c>
      <c r="P270">
        <v>15851.89</v>
      </c>
      <c r="Q270" t="s">
        <v>74</v>
      </c>
      <c r="R270" t="s">
        <v>30</v>
      </c>
      <c r="S270" t="s">
        <v>39</v>
      </c>
      <c r="T270" t="s">
        <v>40</v>
      </c>
    </row>
    <row r="271" spans="1:20" x14ac:dyDescent="0.25">
      <c r="A271" t="s">
        <v>20</v>
      </c>
      <c r="B271" t="s">
        <v>633</v>
      </c>
      <c r="C271" s="1">
        <v>45966</v>
      </c>
      <c r="D271" t="s">
        <v>634</v>
      </c>
      <c r="E271" t="s">
        <v>43</v>
      </c>
      <c r="F271" t="s">
        <v>55</v>
      </c>
      <c r="G271">
        <v>51</v>
      </c>
      <c r="H271" t="s">
        <v>25</v>
      </c>
      <c r="I271" t="s">
        <v>26</v>
      </c>
      <c r="J271" t="s">
        <v>45</v>
      </c>
      <c r="K271" t="s">
        <v>101</v>
      </c>
      <c r="L271">
        <v>1</v>
      </c>
      <c r="M271">
        <v>98000</v>
      </c>
      <c r="N271">
        <v>7</v>
      </c>
      <c r="O271">
        <v>91140</v>
      </c>
      <c r="P271">
        <v>14101.94</v>
      </c>
      <c r="Q271" t="s">
        <v>52</v>
      </c>
      <c r="R271" t="s">
        <v>96</v>
      </c>
      <c r="S271" t="s">
        <v>87</v>
      </c>
      <c r="T271" t="s">
        <v>32</v>
      </c>
    </row>
    <row r="272" spans="1:20" x14ac:dyDescent="0.25">
      <c r="A272" t="s">
        <v>20</v>
      </c>
      <c r="B272" t="s">
        <v>635</v>
      </c>
      <c r="C272" s="1">
        <v>45884</v>
      </c>
      <c r="D272" t="s">
        <v>636</v>
      </c>
      <c r="E272" t="s">
        <v>43</v>
      </c>
      <c r="F272" t="s">
        <v>24</v>
      </c>
      <c r="G272">
        <v>33</v>
      </c>
      <c r="H272" t="s">
        <v>73</v>
      </c>
      <c r="I272" t="s">
        <v>26</v>
      </c>
      <c r="J272" t="s">
        <v>36</v>
      </c>
      <c r="K272" t="s">
        <v>101</v>
      </c>
      <c r="L272">
        <v>1</v>
      </c>
      <c r="M272">
        <v>116000</v>
      </c>
      <c r="N272">
        <v>5</v>
      </c>
      <c r="O272">
        <v>110200</v>
      </c>
      <c r="P272">
        <v>18440.12</v>
      </c>
      <c r="Q272" t="s">
        <v>74</v>
      </c>
      <c r="R272" t="s">
        <v>96</v>
      </c>
      <c r="S272" t="s">
        <v>87</v>
      </c>
      <c r="T272" t="s">
        <v>40</v>
      </c>
    </row>
    <row r="273" spans="1:20" x14ac:dyDescent="0.25">
      <c r="A273" t="s">
        <v>20</v>
      </c>
      <c r="B273" t="s">
        <v>637</v>
      </c>
      <c r="C273" s="1">
        <v>45907</v>
      </c>
      <c r="D273" t="s">
        <v>638</v>
      </c>
      <c r="E273" t="s">
        <v>43</v>
      </c>
      <c r="F273" t="s">
        <v>24</v>
      </c>
      <c r="G273">
        <v>22</v>
      </c>
      <c r="H273" t="s">
        <v>25</v>
      </c>
      <c r="I273" t="s">
        <v>26</v>
      </c>
      <c r="J273" t="s">
        <v>36</v>
      </c>
      <c r="K273" t="s">
        <v>28</v>
      </c>
      <c r="L273">
        <v>1</v>
      </c>
      <c r="M273">
        <v>115000</v>
      </c>
      <c r="N273">
        <v>5</v>
      </c>
      <c r="O273">
        <v>109250</v>
      </c>
      <c r="P273">
        <v>16233.2</v>
      </c>
      <c r="Q273" t="s">
        <v>59</v>
      </c>
      <c r="R273" t="s">
        <v>60</v>
      </c>
      <c r="S273" t="s">
        <v>87</v>
      </c>
      <c r="T273" t="s">
        <v>40</v>
      </c>
    </row>
    <row r="274" spans="1:20" x14ac:dyDescent="0.25">
      <c r="A274" t="s">
        <v>20</v>
      </c>
      <c r="B274" t="s">
        <v>639</v>
      </c>
      <c r="C274" s="1">
        <v>45961</v>
      </c>
      <c r="D274" t="s">
        <v>640</v>
      </c>
      <c r="E274" t="s">
        <v>43</v>
      </c>
      <c r="F274" t="s">
        <v>55</v>
      </c>
      <c r="G274">
        <v>32</v>
      </c>
      <c r="H274" t="s">
        <v>56</v>
      </c>
      <c r="I274" t="s">
        <v>26</v>
      </c>
      <c r="J274" t="s">
        <v>118</v>
      </c>
      <c r="K274" t="s">
        <v>28</v>
      </c>
      <c r="L274">
        <v>1</v>
      </c>
      <c r="M274">
        <v>86000</v>
      </c>
      <c r="N274">
        <v>5</v>
      </c>
      <c r="O274">
        <v>81700</v>
      </c>
      <c r="P274">
        <v>9596.18</v>
      </c>
      <c r="Q274" t="s">
        <v>37</v>
      </c>
      <c r="R274" t="s">
        <v>30</v>
      </c>
      <c r="S274" t="s">
        <v>61</v>
      </c>
      <c r="T274" t="s">
        <v>32</v>
      </c>
    </row>
    <row r="275" spans="1:20" x14ac:dyDescent="0.25">
      <c r="A275" t="s">
        <v>20</v>
      </c>
      <c r="B275" t="s">
        <v>641</v>
      </c>
      <c r="C275" s="1">
        <v>46103</v>
      </c>
      <c r="D275" t="s">
        <v>642</v>
      </c>
      <c r="E275" t="s">
        <v>129</v>
      </c>
      <c r="F275" t="s">
        <v>55</v>
      </c>
      <c r="G275">
        <v>24</v>
      </c>
      <c r="H275" t="s">
        <v>44</v>
      </c>
      <c r="I275" t="s">
        <v>26</v>
      </c>
      <c r="J275" t="s">
        <v>111</v>
      </c>
      <c r="K275" t="s">
        <v>58</v>
      </c>
      <c r="L275">
        <v>2</v>
      </c>
      <c r="M275">
        <v>125000</v>
      </c>
      <c r="N275">
        <v>0</v>
      </c>
      <c r="O275">
        <v>250000</v>
      </c>
      <c r="P275">
        <v>48832.61</v>
      </c>
      <c r="Q275" t="s">
        <v>86</v>
      </c>
      <c r="R275" t="s">
        <v>30</v>
      </c>
      <c r="S275" t="s">
        <v>69</v>
      </c>
      <c r="T275" t="s">
        <v>32</v>
      </c>
    </row>
    <row r="276" spans="1:20" x14ac:dyDescent="0.25">
      <c r="A276" t="s">
        <v>20</v>
      </c>
      <c r="B276" t="s">
        <v>643</v>
      </c>
      <c r="C276" s="1">
        <v>45891</v>
      </c>
      <c r="D276" t="s">
        <v>644</v>
      </c>
      <c r="E276" t="s">
        <v>94</v>
      </c>
      <c r="F276" t="s">
        <v>24</v>
      </c>
      <c r="G276">
        <v>36</v>
      </c>
      <c r="H276" t="s">
        <v>73</v>
      </c>
      <c r="I276" t="s">
        <v>26</v>
      </c>
      <c r="J276" t="s">
        <v>118</v>
      </c>
      <c r="K276" t="s">
        <v>58</v>
      </c>
      <c r="L276">
        <v>1</v>
      </c>
      <c r="M276">
        <v>86000</v>
      </c>
      <c r="N276">
        <v>0</v>
      </c>
      <c r="O276">
        <v>86000</v>
      </c>
      <c r="P276">
        <v>12986.39</v>
      </c>
      <c r="Q276" t="s">
        <v>59</v>
      </c>
      <c r="R276" t="s">
        <v>38</v>
      </c>
      <c r="S276" t="s">
        <v>39</v>
      </c>
      <c r="T276" t="s">
        <v>32</v>
      </c>
    </row>
    <row r="277" spans="1:20" x14ac:dyDescent="0.25">
      <c r="A277" t="s">
        <v>20</v>
      </c>
      <c r="B277" t="s">
        <v>645</v>
      </c>
      <c r="C277" s="1">
        <v>46257</v>
      </c>
      <c r="D277" t="s">
        <v>646</v>
      </c>
      <c r="E277" t="s">
        <v>23</v>
      </c>
      <c r="F277" t="s">
        <v>24</v>
      </c>
      <c r="G277">
        <v>22</v>
      </c>
      <c r="H277" t="s">
        <v>108</v>
      </c>
      <c r="I277" t="s">
        <v>26</v>
      </c>
      <c r="J277" t="s">
        <v>77</v>
      </c>
      <c r="K277" t="s">
        <v>28</v>
      </c>
      <c r="L277">
        <v>1</v>
      </c>
      <c r="M277">
        <v>197000</v>
      </c>
      <c r="N277">
        <v>10</v>
      </c>
      <c r="O277">
        <v>177300</v>
      </c>
      <c r="P277">
        <v>9022.2199999999993</v>
      </c>
      <c r="Q277" t="s">
        <v>74</v>
      </c>
      <c r="R277" t="s">
        <v>60</v>
      </c>
      <c r="S277" t="s">
        <v>87</v>
      </c>
      <c r="T277" t="s">
        <v>32</v>
      </c>
    </row>
    <row r="278" spans="1:20" x14ac:dyDescent="0.25">
      <c r="A278" t="s">
        <v>20</v>
      </c>
      <c r="B278" t="s">
        <v>647</v>
      </c>
      <c r="C278" s="1">
        <v>46204</v>
      </c>
      <c r="D278" t="s">
        <v>648</v>
      </c>
      <c r="E278" t="s">
        <v>129</v>
      </c>
      <c r="F278" t="s">
        <v>24</v>
      </c>
      <c r="G278">
        <v>34</v>
      </c>
      <c r="H278" t="s">
        <v>339</v>
      </c>
      <c r="I278" t="s">
        <v>26</v>
      </c>
      <c r="J278" t="s">
        <v>104</v>
      </c>
      <c r="K278" t="s">
        <v>101</v>
      </c>
      <c r="L278">
        <v>1</v>
      </c>
      <c r="M278">
        <v>172000</v>
      </c>
      <c r="N278">
        <v>0</v>
      </c>
      <c r="O278">
        <v>172000</v>
      </c>
      <c r="P278">
        <v>28056.89</v>
      </c>
      <c r="Q278" t="s">
        <v>37</v>
      </c>
      <c r="R278" t="s">
        <v>60</v>
      </c>
      <c r="S278" t="s">
        <v>61</v>
      </c>
      <c r="T278" t="s">
        <v>40</v>
      </c>
    </row>
    <row r="279" spans="1:20" x14ac:dyDescent="0.25">
      <c r="A279" t="s">
        <v>20</v>
      </c>
      <c r="B279" t="s">
        <v>649</v>
      </c>
      <c r="C279" s="1">
        <v>46208</v>
      </c>
      <c r="D279" t="s">
        <v>650</v>
      </c>
      <c r="E279" t="s">
        <v>23</v>
      </c>
      <c r="F279" t="s">
        <v>24</v>
      </c>
      <c r="G279">
        <v>55</v>
      </c>
      <c r="H279" t="s">
        <v>73</v>
      </c>
      <c r="I279" t="s">
        <v>26</v>
      </c>
      <c r="J279" t="s">
        <v>118</v>
      </c>
      <c r="K279" t="s">
        <v>68</v>
      </c>
      <c r="L279">
        <v>1</v>
      </c>
      <c r="M279">
        <v>83000</v>
      </c>
      <c r="N279">
        <v>7</v>
      </c>
      <c r="O279">
        <v>77190</v>
      </c>
      <c r="P279">
        <v>6507.32</v>
      </c>
      <c r="Q279" t="s">
        <v>86</v>
      </c>
      <c r="R279" t="s">
        <v>96</v>
      </c>
      <c r="S279" t="s">
        <v>47</v>
      </c>
      <c r="T279" t="s">
        <v>32</v>
      </c>
    </row>
    <row r="280" spans="1:20" x14ac:dyDescent="0.25">
      <c r="A280" t="s">
        <v>20</v>
      </c>
      <c r="B280" t="s">
        <v>651</v>
      </c>
      <c r="C280" s="1">
        <v>46238</v>
      </c>
      <c r="D280" t="s">
        <v>652</v>
      </c>
      <c r="E280" t="s">
        <v>35</v>
      </c>
      <c r="F280" t="s">
        <v>55</v>
      </c>
      <c r="G280">
        <v>23</v>
      </c>
      <c r="H280" t="s">
        <v>73</v>
      </c>
      <c r="I280" t="s">
        <v>26</v>
      </c>
      <c r="J280" t="s">
        <v>45</v>
      </c>
      <c r="K280" t="s">
        <v>101</v>
      </c>
      <c r="L280">
        <v>1</v>
      </c>
      <c r="M280">
        <v>98000</v>
      </c>
      <c r="N280">
        <v>2</v>
      </c>
      <c r="O280">
        <v>96040</v>
      </c>
      <c r="P280">
        <v>18252.04</v>
      </c>
      <c r="Q280" t="s">
        <v>82</v>
      </c>
      <c r="R280" t="s">
        <v>60</v>
      </c>
      <c r="S280" t="s">
        <v>69</v>
      </c>
      <c r="T280" t="s">
        <v>32</v>
      </c>
    </row>
    <row r="281" spans="1:20" x14ac:dyDescent="0.25">
      <c r="A281" t="s">
        <v>20</v>
      </c>
      <c r="B281" t="s">
        <v>653</v>
      </c>
      <c r="C281" s="1">
        <v>45898</v>
      </c>
      <c r="D281" t="s">
        <v>654</v>
      </c>
      <c r="E281" t="s">
        <v>72</v>
      </c>
      <c r="F281" t="s">
        <v>55</v>
      </c>
      <c r="G281">
        <v>26</v>
      </c>
      <c r="H281" t="s">
        <v>85</v>
      </c>
      <c r="I281" t="s">
        <v>26</v>
      </c>
      <c r="J281" t="s">
        <v>81</v>
      </c>
      <c r="K281" t="s">
        <v>68</v>
      </c>
      <c r="L281">
        <v>2</v>
      </c>
      <c r="M281">
        <v>235000</v>
      </c>
      <c r="N281">
        <v>2</v>
      </c>
      <c r="O281">
        <v>460600</v>
      </c>
      <c r="P281">
        <v>56138.93</v>
      </c>
      <c r="Q281" t="s">
        <v>86</v>
      </c>
      <c r="R281" t="s">
        <v>38</v>
      </c>
      <c r="S281" t="s">
        <v>47</v>
      </c>
      <c r="T281" t="s">
        <v>40</v>
      </c>
    </row>
    <row r="282" spans="1:20" x14ac:dyDescent="0.25">
      <c r="A282" t="s">
        <v>20</v>
      </c>
      <c r="B282" t="s">
        <v>655</v>
      </c>
      <c r="C282" s="1">
        <v>45981</v>
      </c>
      <c r="D282" t="s">
        <v>656</v>
      </c>
      <c r="E282" t="s">
        <v>129</v>
      </c>
      <c r="F282" t="s">
        <v>55</v>
      </c>
      <c r="G282">
        <v>47</v>
      </c>
      <c r="H282" t="s">
        <v>51</v>
      </c>
      <c r="I282" t="s">
        <v>26</v>
      </c>
      <c r="J282" t="s">
        <v>81</v>
      </c>
      <c r="K282" t="s">
        <v>101</v>
      </c>
      <c r="L282">
        <v>1</v>
      </c>
      <c r="M282">
        <v>234000</v>
      </c>
      <c r="N282">
        <v>7</v>
      </c>
      <c r="O282">
        <v>217620</v>
      </c>
      <c r="P282">
        <v>19182.52</v>
      </c>
      <c r="Q282" t="s">
        <v>52</v>
      </c>
      <c r="R282" t="s">
        <v>96</v>
      </c>
      <c r="S282" t="s">
        <v>61</v>
      </c>
      <c r="T282" t="s">
        <v>40</v>
      </c>
    </row>
    <row r="283" spans="1:20" x14ac:dyDescent="0.25">
      <c r="A283" t="s">
        <v>20</v>
      </c>
      <c r="B283" t="s">
        <v>657</v>
      </c>
      <c r="C283" s="1">
        <v>46131</v>
      </c>
      <c r="D283" t="s">
        <v>658</v>
      </c>
      <c r="E283" t="s">
        <v>43</v>
      </c>
      <c r="F283" t="s">
        <v>24</v>
      </c>
      <c r="G283">
        <v>48</v>
      </c>
      <c r="H283" t="s">
        <v>56</v>
      </c>
      <c r="I283" t="s">
        <v>26</v>
      </c>
      <c r="J283" t="s">
        <v>104</v>
      </c>
      <c r="K283" t="s">
        <v>58</v>
      </c>
      <c r="L283">
        <v>1</v>
      </c>
      <c r="M283">
        <v>172000</v>
      </c>
      <c r="N283">
        <v>0</v>
      </c>
      <c r="O283">
        <v>166840</v>
      </c>
      <c r="P283">
        <v>14560.44</v>
      </c>
      <c r="Q283" t="s">
        <v>82</v>
      </c>
      <c r="R283" t="s">
        <v>96</v>
      </c>
      <c r="S283" t="s">
        <v>61</v>
      </c>
      <c r="T283" t="s">
        <v>32</v>
      </c>
    </row>
    <row r="284" spans="1:20" x14ac:dyDescent="0.25">
      <c r="A284" t="s">
        <v>20</v>
      </c>
      <c r="B284" t="s">
        <v>659</v>
      </c>
      <c r="C284" s="1">
        <v>45736</v>
      </c>
      <c r="D284" t="s">
        <v>660</v>
      </c>
      <c r="E284" t="s">
        <v>80</v>
      </c>
      <c r="F284" t="s">
        <v>55</v>
      </c>
      <c r="G284">
        <v>24</v>
      </c>
      <c r="H284" t="s">
        <v>73</v>
      </c>
      <c r="I284" t="s">
        <v>26</v>
      </c>
      <c r="J284" t="s">
        <v>104</v>
      </c>
      <c r="K284" t="s">
        <v>58</v>
      </c>
      <c r="L284">
        <v>2</v>
      </c>
      <c r="M284">
        <v>169000</v>
      </c>
      <c r="N284">
        <v>3</v>
      </c>
      <c r="O284">
        <v>327860</v>
      </c>
      <c r="P284">
        <v>34467.43</v>
      </c>
      <c r="Q284" t="s">
        <v>52</v>
      </c>
      <c r="R284" t="s">
        <v>30</v>
      </c>
      <c r="S284" t="s">
        <v>87</v>
      </c>
      <c r="T284" t="s">
        <v>40</v>
      </c>
    </row>
    <row r="285" spans="1:20" x14ac:dyDescent="0.25">
      <c r="A285" t="s">
        <v>20</v>
      </c>
      <c r="B285" t="s">
        <v>661</v>
      </c>
      <c r="C285" s="1">
        <v>46261</v>
      </c>
      <c r="D285" t="s">
        <v>662</v>
      </c>
      <c r="E285" t="s">
        <v>129</v>
      </c>
      <c r="F285" t="s">
        <v>24</v>
      </c>
      <c r="G285">
        <v>5</v>
      </c>
      <c r="H285" t="s">
        <v>85</v>
      </c>
      <c r="I285" t="s">
        <v>26</v>
      </c>
      <c r="J285" t="s">
        <v>36</v>
      </c>
      <c r="K285" t="s">
        <v>28</v>
      </c>
      <c r="L285">
        <v>1</v>
      </c>
      <c r="M285">
        <v>114000</v>
      </c>
      <c r="N285">
        <v>3</v>
      </c>
      <c r="O285">
        <v>110580</v>
      </c>
      <c r="P285">
        <v>16290.62</v>
      </c>
      <c r="Q285" t="s">
        <v>59</v>
      </c>
      <c r="R285" t="s">
        <v>60</v>
      </c>
      <c r="S285" t="s">
        <v>87</v>
      </c>
      <c r="T285" t="s">
        <v>32</v>
      </c>
    </row>
    <row r="286" spans="1:20" x14ac:dyDescent="0.25">
      <c r="A286" t="s">
        <v>20</v>
      </c>
      <c r="B286" t="s">
        <v>663</v>
      </c>
      <c r="C286" s="1">
        <v>46237</v>
      </c>
      <c r="D286" t="s">
        <v>664</v>
      </c>
      <c r="E286" t="s">
        <v>35</v>
      </c>
      <c r="F286" t="s">
        <v>24</v>
      </c>
      <c r="G286">
        <v>29</v>
      </c>
      <c r="H286" t="s">
        <v>73</v>
      </c>
      <c r="I286" t="s">
        <v>26</v>
      </c>
      <c r="J286" t="s">
        <v>111</v>
      </c>
      <c r="K286" t="s">
        <v>28</v>
      </c>
      <c r="L286">
        <v>1</v>
      </c>
      <c r="M286">
        <v>124000</v>
      </c>
      <c r="N286">
        <v>5</v>
      </c>
      <c r="O286">
        <v>117800</v>
      </c>
      <c r="P286">
        <v>18710.77</v>
      </c>
      <c r="Q286" t="s">
        <v>52</v>
      </c>
      <c r="R286" t="s">
        <v>38</v>
      </c>
      <c r="S286" t="s">
        <v>31</v>
      </c>
      <c r="T286" t="s">
        <v>32</v>
      </c>
    </row>
    <row r="287" spans="1:20" x14ac:dyDescent="0.25">
      <c r="A287" t="s">
        <v>20</v>
      </c>
      <c r="B287" t="s">
        <v>665</v>
      </c>
      <c r="C287" s="1">
        <v>46027</v>
      </c>
      <c r="D287" t="s">
        <v>666</v>
      </c>
      <c r="E287" t="s">
        <v>35</v>
      </c>
      <c r="F287" t="s">
        <v>24</v>
      </c>
      <c r="G287">
        <v>44</v>
      </c>
      <c r="H287" t="s">
        <v>56</v>
      </c>
      <c r="I287" t="s">
        <v>26</v>
      </c>
      <c r="J287" t="s">
        <v>104</v>
      </c>
      <c r="K287" t="s">
        <v>28</v>
      </c>
      <c r="L287">
        <v>1</v>
      </c>
      <c r="M287">
        <v>172000</v>
      </c>
      <c r="N287">
        <v>2</v>
      </c>
      <c r="O287">
        <v>168560</v>
      </c>
      <c r="P287">
        <v>23710.85</v>
      </c>
      <c r="Q287" t="s">
        <v>667</v>
      </c>
      <c r="R287" t="s">
        <v>60</v>
      </c>
      <c r="S287" t="s">
        <v>69</v>
      </c>
      <c r="T287" t="s">
        <v>40</v>
      </c>
    </row>
    <row r="288" spans="1:20" x14ac:dyDescent="0.25">
      <c r="A288" t="s">
        <v>20</v>
      </c>
      <c r="B288" t="s">
        <v>668</v>
      </c>
      <c r="C288" s="1">
        <v>45737</v>
      </c>
      <c r="D288" t="s">
        <v>669</v>
      </c>
      <c r="E288" t="s">
        <v>72</v>
      </c>
      <c r="F288" t="s">
        <v>24</v>
      </c>
      <c r="G288">
        <v>53</v>
      </c>
      <c r="H288" t="s">
        <v>73</v>
      </c>
      <c r="I288" t="s">
        <v>26</v>
      </c>
      <c r="J288" t="s">
        <v>104</v>
      </c>
      <c r="K288" t="s">
        <v>68</v>
      </c>
      <c r="L288">
        <v>1</v>
      </c>
      <c r="M288">
        <v>170000</v>
      </c>
      <c r="N288">
        <v>3</v>
      </c>
      <c r="O288">
        <v>164900</v>
      </c>
      <c r="P288">
        <v>20311.349999999999</v>
      </c>
      <c r="Q288" t="s">
        <v>59</v>
      </c>
      <c r="R288" t="s">
        <v>60</v>
      </c>
      <c r="S288" t="s">
        <v>39</v>
      </c>
      <c r="T288" t="s">
        <v>40</v>
      </c>
    </row>
    <row r="289" spans="1:20" x14ac:dyDescent="0.25">
      <c r="A289" t="s">
        <v>20</v>
      </c>
      <c r="B289" t="s">
        <v>670</v>
      </c>
      <c r="C289" s="1">
        <v>45736</v>
      </c>
      <c r="D289" t="s">
        <v>671</v>
      </c>
      <c r="E289" t="s">
        <v>72</v>
      </c>
      <c r="F289" t="s">
        <v>55</v>
      </c>
      <c r="G289">
        <v>52</v>
      </c>
      <c r="H289" t="s">
        <v>25</v>
      </c>
      <c r="I289" t="s">
        <v>26</v>
      </c>
      <c r="J289" t="s">
        <v>57</v>
      </c>
      <c r="K289" t="s">
        <v>68</v>
      </c>
      <c r="L289">
        <v>1</v>
      </c>
      <c r="M289">
        <v>174000</v>
      </c>
      <c r="N289">
        <v>5</v>
      </c>
      <c r="O289">
        <v>165300</v>
      </c>
      <c r="P289">
        <v>26122.15</v>
      </c>
      <c r="Q289" t="s">
        <v>37</v>
      </c>
      <c r="R289" t="s">
        <v>96</v>
      </c>
      <c r="S289" t="s">
        <v>39</v>
      </c>
      <c r="T289" t="s">
        <v>32</v>
      </c>
    </row>
    <row r="290" spans="1:20" x14ac:dyDescent="0.25">
      <c r="A290" t="s">
        <v>20</v>
      </c>
      <c r="B290" t="s">
        <v>672</v>
      </c>
      <c r="C290" s="1">
        <v>46148</v>
      </c>
      <c r="D290" t="s">
        <v>673</v>
      </c>
      <c r="E290" t="s">
        <v>50</v>
      </c>
      <c r="F290" t="s">
        <v>55</v>
      </c>
      <c r="G290">
        <v>50</v>
      </c>
      <c r="H290" t="s">
        <v>95</v>
      </c>
      <c r="I290" t="s">
        <v>26</v>
      </c>
      <c r="J290" t="s">
        <v>111</v>
      </c>
      <c r="K290" t="s">
        <v>58</v>
      </c>
      <c r="L290">
        <v>1</v>
      </c>
      <c r="M290">
        <v>127000</v>
      </c>
      <c r="N290">
        <v>0</v>
      </c>
      <c r="O290">
        <v>127000</v>
      </c>
      <c r="P290">
        <v>20601.689999999999</v>
      </c>
      <c r="Q290" t="s">
        <v>105</v>
      </c>
      <c r="R290" t="s">
        <v>96</v>
      </c>
      <c r="S290" t="s">
        <v>69</v>
      </c>
      <c r="T290" t="s">
        <v>32</v>
      </c>
    </row>
    <row r="291" spans="1:20" x14ac:dyDescent="0.25">
      <c r="A291" t="s">
        <v>20</v>
      </c>
      <c r="B291" t="s">
        <v>674</v>
      </c>
      <c r="C291" s="1">
        <v>45808</v>
      </c>
      <c r="D291" t="s">
        <v>675</v>
      </c>
      <c r="E291" t="s">
        <v>129</v>
      </c>
      <c r="F291" t="s">
        <v>24</v>
      </c>
      <c r="G291">
        <v>23</v>
      </c>
      <c r="H291" t="s">
        <v>73</v>
      </c>
      <c r="I291" t="s">
        <v>26</v>
      </c>
      <c r="J291" t="s">
        <v>81</v>
      </c>
      <c r="K291" t="s">
        <v>68</v>
      </c>
      <c r="L291">
        <v>1</v>
      </c>
      <c r="M291">
        <v>236000</v>
      </c>
      <c r="N291">
        <v>0</v>
      </c>
      <c r="O291">
        <v>236000</v>
      </c>
      <c r="P291">
        <v>26692.61</v>
      </c>
      <c r="Q291" t="s">
        <v>59</v>
      </c>
      <c r="R291" t="s">
        <v>30</v>
      </c>
      <c r="S291" t="s">
        <v>61</v>
      </c>
      <c r="T291" t="s">
        <v>40</v>
      </c>
    </row>
    <row r="292" spans="1:20" x14ac:dyDescent="0.25">
      <c r="A292" t="s">
        <v>20</v>
      </c>
      <c r="B292" t="s">
        <v>676</v>
      </c>
      <c r="C292" s="1">
        <v>46078</v>
      </c>
      <c r="D292" t="s">
        <v>677</v>
      </c>
      <c r="E292" t="s">
        <v>129</v>
      </c>
      <c r="F292" t="s">
        <v>24</v>
      </c>
      <c r="G292">
        <v>29</v>
      </c>
      <c r="H292" t="s">
        <v>44</v>
      </c>
      <c r="I292" t="s">
        <v>26</v>
      </c>
      <c r="J292" t="s">
        <v>27</v>
      </c>
      <c r="K292" t="s">
        <v>68</v>
      </c>
      <c r="L292">
        <v>1</v>
      </c>
      <c r="M292">
        <v>95000</v>
      </c>
      <c r="N292">
        <v>0</v>
      </c>
      <c r="O292">
        <v>90250</v>
      </c>
      <c r="P292">
        <v>14205.54</v>
      </c>
      <c r="Q292" t="s">
        <v>86</v>
      </c>
      <c r="R292" t="s">
        <v>38</v>
      </c>
      <c r="S292" t="s">
        <v>87</v>
      </c>
      <c r="T292" t="s">
        <v>32</v>
      </c>
    </row>
    <row r="293" spans="1:20" x14ac:dyDescent="0.25">
      <c r="A293" t="s">
        <v>20</v>
      </c>
      <c r="B293" t="s">
        <v>678</v>
      </c>
      <c r="C293" s="1">
        <v>46174</v>
      </c>
      <c r="D293" t="s">
        <v>679</v>
      </c>
      <c r="E293" t="s">
        <v>129</v>
      </c>
      <c r="F293" t="s">
        <v>55</v>
      </c>
      <c r="G293">
        <v>46</v>
      </c>
      <c r="H293" t="s">
        <v>95</v>
      </c>
      <c r="I293" t="s">
        <v>26</v>
      </c>
      <c r="J293" t="s">
        <v>111</v>
      </c>
      <c r="K293" t="s">
        <v>68</v>
      </c>
      <c r="L293">
        <v>1</v>
      </c>
      <c r="M293">
        <v>123000</v>
      </c>
      <c r="N293">
        <v>0</v>
      </c>
      <c r="O293">
        <v>123000</v>
      </c>
      <c r="P293">
        <v>24073.34</v>
      </c>
      <c r="Q293" t="s">
        <v>46</v>
      </c>
      <c r="R293" t="s">
        <v>30</v>
      </c>
      <c r="S293" t="s">
        <v>87</v>
      </c>
      <c r="T293" t="s">
        <v>32</v>
      </c>
    </row>
    <row r="294" spans="1:20" x14ac:dyDescent="0.25">
      <c r="A294" t="s">
        <v>20</v>
      </c>
      <c r="B294" t="s">
        <v>680</v>
      </c>
      <c r="C294" s="1">
        <v>46099</v>
      </c>
      <c r="D294" t="s">
        <v>681</v>
      </c>
      <c r="E294" t="s">
        <v>94</v>
      </c>
      <c r="F294" t="s">
        <v>24</v>
      </c>
      <c r="G294">
        <v>53</v>
      </c>
      <c r="H294" t="s">
        <v>85</v>
      </c>
      <c r="I294" t="s">
        <v>26</v>
      </c>
      <c r="J294" t="s">
        <v>27</v>
      </c>
      <c r="K294" t="s">
        <v>28</v>
      </c>
      <c r="L294">
        <v>1</v>
      </c>
      <c r="M294">
        <v>96000</v>
      </c>
      <c r="N294">
        <v>7</v>
      </c>
      <c r="O294">
        <v>89280</v>
      </c>
      <c r="P294">
        <v>4866.95</v>
      </c>
      <c r="Q294" t="s">
        <v>59</v>
      </c>
      <c r="R294" t="s">
        <v>96</v>
      </c>
      <c r="S294" t="s">
        <v>47</v>
      </c>
      <c r="T294" t="s">
        <v>40</v>
      </c>
    </row>
    <row r="295" spans="1:20" x14ac:dyDescent="0.25">
      <c r="A295" t="s">
        <v>20</v>
      </c>
      <c r="B295" t="s">
        <v>682</v>
      </c>
      <c r="C295" s="1">
        <v>45743</v>
      </c>
      <c r="D295" t="s">
        <v>683</v>
      </c>
      <c r="E295" t="s">
        <v>94</v>
      </c>
      <c r="F295" t="s">
        <v>24</v>
      </c>
      <c r="G295">
        <v>38</v>
      </c>
      <c r="H295" t="s">
        <v>108</v>
      </c>
      <c r="I295" t="s">
        <v>26</v>
      </c>
      <c r="J295" t="s">
        <v>64</v>
      </c>
      <c r="K295" t="s">
        <v>68</v>
      </c>
      <c r="L295">
        <v>1</v>
      </c>
      <c r="M295">
        <v>125000</v>
      </c>
      <c r="N295">
        <v>5</v>
      </c>
      <c r="O295">
        <v>118750</v>
      </c>
      <c r="P295">
        <v>9762.1200000000008</v>
      </c>
      <c r="Q295" t="s">
        <v>105</v>
      </c>
      <c r="R295" t="s">
        <v>30</v>
      </c>
      <c r="S295" t="s">
        <v>87</v>
      </c>
      <c r="T295" t="s">
        <v>32</v>
      </c>
    </row>
    <row r="296" spans="1:20" x14ac:dyDescent="0.25">
      <c r="A296" t="s">
        <v>20</v>
      </c>
      <c r="B296" t="s">
        <v>684</v>
      </c>
      <c r="C296" s="1">
        <v>46076</v>
      </c>
      <c r="D296" t="s">
        <v>685</v>
      </c>
      <c r="E296" t="s">
        <v>23</v>
      </c>
      <c r="F296" t="s">
        <v>55</v>
      </c>
      <c r="G296">
        <v>43</v>
      </c>
      <c r="H296" t="s">
        <v>25</v>
      </c>
      <c r="I296" t="s">
        <v>26</v>
      </c>
      <c r="J296" t="s">
        <v>36</v>
      </c>
      <c r="K296" t="s">
        <v>58</v>
      </c>
      <c r="L296">
        <v>1</v>
      </c>
      <c r="M296">
        <v>114000</v>
      </c>
      <c r="N296">
        <v>10</v>
      </c>
      <c r="O296">
        <v>102600</v>
      </c>
      <c r="P296">
        <v>2677.35</v>
      </c>
      <c r="Q296" t="s">
        <v>74</v>
      </c>
      <c r="R296" t="s">
        <v>60</v>
      </c>
      <c r="S296" t="s">
        <v>87</v>
      </c>
      <c r="T296" t="s">
        <v>40</v>
      </c>
    </row>
    <row r="297" spans="1:20" x14ac:dyDescent="0.25">
      <c r="A297" t="s">
        <v>20</v>
      </c>
      <c r="B297" t="s">
        <v>686</v>
      </c>
      <c r="C297" s="1">
        <v>46081</v>
      </c>
      <c r="D297" t="s">
        <v>687</v>
      </c>
      <c r="E297" t="s">
        <v>35</v>
      </c>
      <c r="F297" t="s">
        <v>55</v>
      </c>
      <c r="G297">
        <v>55</v>
      </c>
      <c r="H297" t="s">
        <v>56</v>
      </c>
      <c r="I297" t="s">
        <v>26</v>
      </c>
      <c r="J297" t="s">
        <v>81</v>
      </c>
      <c r="K297" t="s">
        <v>101</v>
      </c>
      <c r="L297">
        <v>1</v>
      </c>
      <c r="M297">
        <v>237000</v>
      </c>
      <c r="N297">
        <v>5</v>
      </c>
      <c r="O297">
        <v>225150</v>
      </c>
      <c r="P297">
        <v>18818.599999999999</v>
      </c>
      <c r="Q297" t="s">
        <v>46</v>
      </c>
      <c r="R297" t="s">
        <v>60</v>
      </c>
      <c r="S297" t="s">
        <v>39</v>
      </c>
      <c r="T297" t="s">
        <v>40</v>
      </c>
    </row>
    <row r="298" spans="1:20" x14ac:dyDescent="0.25">
      <c r="A298" t="s">
        <v>20</v>
      </c>
      <c r="B298" t="s">
        <v>688</v>
      </c>
      <c r="C298" s="1">
        <v>46115</v>
      </c>
      <c r="D298" t="s">
        <v>689</v>
      </c>
      <c r="E298" t="s">
        <v>23</v>
      </c>
      <c r="F298" t="s">
        <v>55</v>
      </c>
      <c r="G298">
        <v>30</v>
      </c>
      <c r="H298" t="s">
        <v>73</v>
      </c>
      <c r="I298" t="s">
        <v>26</v>
      </c>
      <c r="J298" t="s">
        <v>121</v>
      </c>
      <c r="K298" t="s">
        <v>58</v>
      </c>
      <c r="L298">
        <v>2</v>
      </c>
      <c r="M298">
        <v>197000</v>
      </c>
      <c r="N298">
        <v>0</v>
      </c>
      <c r="O298">
        <v>394000</v>
      </c>
      <c r="P298">
        <v>51323.34</v>
      </c>
      <c r="Q298" t="s">
        <v>86</v>
      </c>
      <c r="R298" t="s">
        <v>30</v>
      </c>
      <c r="S298" t="s">
        <v>31</v>
      </c>
      <c r="T298" t="s">
        <v>40</v>
      </c>
    </row>
    <row r="299" spans="1:20" x14ac:dyDescent="0.25">
      <c r="A299" t="s">
        <v>20</v>
      </c>
      <c r="B299" t="s">
        <v>690</v>
      </c>
      <c r="C299" s="1">
        <v>45723</v>
      </c>
      <c r="D299" t="s">
        <v>691</v>
      </c>
      <c r="E299" t="s">
        <v>50</v>
      </c>
      <c r="F299" t="s">
        <v>24</v>
      </c>
      <c r="G299">
        <v>36</v>
      </c>
      <c r="H299" t="s">
        <v>197</v>
      </c>
      <c r="I299" t="s">
        <v>26</v>
      </c>
      <c r="J299" t="s">
        <v>118</v>
      </c>
      <c r="K299" t="s">
        <v>28</v>
      </c>
      <c r="L299">
        <v>1</v>
      </c>
      <c r="M299">
        <v>85000</v>
      </c>
      <c r="N299">
        <v>7</v>
      </c>
      <c r="O299">
        <v>79050</v>
      </c>
      <c r="P299">
        <v>8309.15</v>
      </c>
      <c r="Q299" t="s">
        <v>105</v>
      </c>
      <c r="R299" t="s">
        <v>38</v>
      </c>
      <c r="S299" t="s">
        <v>47</v>
      </c>
      <c r="T299" t="s">
        <v>40</v>
      </c>
    </row>
    <row r="300" spans="1:20" x14ac:dyDescent="0.25">
      <c r="A300" t="s">
        <v>20</v>
      </c>
      <c r="B300" t="s">
        <v>692</v>
      </c>
      <c r="C300" s="1">
        <v>45668</v>
      </c>
      <c r="D300" t="s">
        <v>693</v>
      </c>
      <c r="E300" t="s">
        <v>72</v>
      </c>
      <c r="F300" t="s">
        <v>55</v>
      </c>
      <c r="G300">
        <v>32</v>
      </c>
      <c r="H300" t="s">
        <v>25</v>
      </c>
      <c r="I300" t="s">
        <v>26</v>
      </c>
      <c r="J300" t="s">
        <v>81</v>
      </c>
      <c r="K300" t="s">
        <v>28</v>
      </c>
      <c r="L300">
        <v>2</v>
      </c>
      <c r="M300">
        <v>234000</v>
      </c>
      <c r="N300">
        <v>10</v>
      </c>
      <c r="O300">
        <v>421200</v>
      </c>
      <c r="P300">
        <v>28396.27</v>
      </c>
      <c r="Q300" t="s">
        <v>52</v>
      </c>
      <c r="R300" t="s">
        <v>96</v>
      </c>
      <c r="S300" t="s">
        <v>61</v>
      </c>
      <c r="T300" t="s">
        <v>32</v>
      </c>
    </row>
    <row r="301" spans="1:20" x14ac:dyDescent="0.25">
      <c r="A301" t="s">
        <v>20</v>
      </c>
      <c r="B301" t="s">
        <v>694</v>
      </c>
      <c r="C301" s="1">
        <v>46067</v>
      </c>
      <c r="D301" t="s">
        <v>695</v>
      </c>
      <c r="E301" t="s">
        <v>94</v>
      </c>
      <c r="F301" t="s">
        <v>24</v>
      </c>
      <c r="G301">
        <v>42</v>
      </c>
      <c r="H301" t="s">
        <v>44</v>
      </c>
      <c r="I301" t="s">
        <v>26</v>
      </c>
      <c r="J301" t="s">
        <v>64</v>
      </c>
      <c r="K301" t="s">
        <v>68</v>
      </c>
      <c r="L301">
        <v>1</v>
      </c>
      <c r="M301">
        <v>124000</v>
      </c>
      <c r="N301">
        <v>0</v>
      </c>
      <c r="O301">
        <v>124000</v>
      </c>
      <c r="P301">
        <v>12447.36</v>
      </c>
      <c r="Q301" t="s">
        <v>105</v>
      </c>
      <c r="R301" t="s">
        <v>30</v>
      </c>
      <c r="S301" t="s">
        <v>69</v>
      </c>
      <c r="T301" t="s">
        <v>40</v>
      </c>
    </row>
    <row r="302" spans="1:20" x14ac:dyDescent="0.25">
      <c r="A302" t="s">
        <v>20</v>
      </c>
      <c r="B302" t="s">
        <v>696</v>
      </c>
      <c r="C302" s="1">
        <v>45857</v>
      </c>
      <c r="D302" t="s">
        <v>697</v>
      </c>
      <c r="E302" t="s">
        <v>374</v>
      </c>
      <c r="F302" t="s">
        <v>55</v>
      </c>
      <c r="G302">
        <v>49</v>
      </c>
      <c r="H302" t="s">
        <v>56</v>
      </c>
      <c r="I302" t="s">
        <v>26</v>
      </c>
      <c r="J302" t="s">
        <v>36</v>
      </c>
      <c r="K302" t="s">
        <v>101</v>
      </c>
      <c r="L302">
        <v>1</v>
      </c>
      <c r="M302">
        <v>115000</v>
      </c>
      <c r="N302">
        <v>2</v>
      </c>
      <c r="O302">
        <v>112700</v>
      </c>
      <c r="P302">
        <v>14632.18</v>
      </c>
      <c r="Q302" t="s">
        <v>37</v>
      </c>
      <c r="R302" t="s">
        <v>38</v>
      </c>
      <c r="S302" t="s">
        <v>87</v>
      </c>
      <c r="T302" t="s">
        <v>32</v>
      </c>
    </row>
    <row r="303" spans="1:20" x14ac:dyDescent="0.25">
      <c r="A303" t="s">
        <v>20</v>
      </c>
      <c r="B303" t="s">
        <v>698</v>
      </c>
      <c r="C303" s="1">
        <v>45921</v>
      </c>
      <c r="D303" t="s">
        <v>699</v>
      </c>
      <c r="E303" t="s">
        <v>72</v>
      </c>
      <c r="F303" t="s">
        <v>24</v>
      </c>
      <c r="G303">
        <v>54</v>
      </c>
      <c r="H303" t="s">
        <v>108</v>
      </c>
      <c r="I303" t="s">
        <v>26</v>
      </c>
      <c r="J303" t="s">
        <v>36</v>
      </c>
      <c r="K303" t="s">
        <v>58</v>
      </c>
      <c r="L303">
        <v>1</v>
      </c>
      <c r="M303">
        <v>115000</v>
      </c>
      <c r="N303">
        <v>0</v>
      </c>
      <c r="O303">
        <v>115000</v>
      </c>
      <c r="P303">
        <v>14219.4</v>
      </c>
      <c r="Q303" t="s">
        <v>46</v>
      </c>
      <c r="R303" t="s">
        <v>96</v>
      </c>
      <c r="S303" t="s">
        <v>39</v>
      </c>
      <c r="T303" t="s">
        <v>40</v>
      </c>
    </row>
    <row r="304" spans="1:20" x14ac:dyDescent="0.25">
      <c r="A304" t="s">
        <v>20</v>
      </c>
      <c r="B304" t="s">
        <v>700</v>
      </c>
      <c r="C304" s="1">
        <v>45883</v>
      </c>
      <c r="D304" t="s">
        <v>701</v>
      </c>
      <c r="E304" t="s">
        <v>43</v>
      </c>
      <c r="F304" t="s">
        <v>24</v>
      </c>
      <c r="G304">
        <v>34</v>
      </c>
      <c r="H304" t="s">
        <v>25</v>
      </c>
      <c r="I304" t="s">
        <v>26</v>
      </c>
      <c r="J304" t="s">
        <v>57</v>
      </c>
      <c r="K304" t="s">
        <v>101</v>
      </c>
      <c r="L304">
        <v>1</v>
      </c>
      <c r="M304">
        <v>175000</v>
      </c>
      <c r="N304">
        <v>0</v>
      </c>
      <c r="O304">
        <v>175000</v>
      </c>
      <c r="P304">
        <v>30463.86</v>
      </c>
      <c r="Q304" t="s">
        <v>105</v>
      </c>
      <c r="R304" t="s">
        <v>60</v>
      </c>
      <c r="S304" t="s">
        <v>31</v>
      </c>
      <c r="T304" t="s">
        <v>40</v>
      </c>
    </row>
    <row r="305" spans="1:20" x14ac:dyDescent="0.25">
      <c r="A305" t="s">
        <v>20</v>
      </c>
      <c r="B305" t="s">
        <v>702</v>
      </c>
      <c r="C305" s="1">
        <v>45840</v>
      </c>
      <c r="D305" t="s">
        <v>703</v>
      </c>
      <c r="E305" t="s">
        <v>43</v>
      </c>
      <c r="F305" t="s">
        <v>24</v>
      </c>
      <c r="G305">
        <v>50</v>
      </c>
      <c r="H305" t="s">
        <v>95</v>
      </c>
      <c r="I305" t="s">
        <v>26</v>
      </c>
      <c r="J305" t="s">
        <v>27</v>
      </c>
      <c r="K305" t="s">
        <v>68</v>
      </c>
      <c r="L305">
        <v>1</v>
      </c>
      <c r="M305">
        <v>95000</v>
      </c>
      <c r="N305">
        <v>0</v>
      </c>
      <c r="O305">
        <v>95000</v>
      </c>
      <c r="P305">
        <v>14578.11</v>
      </c>
      <c r="Q305" t="s">
        <v>74</v>
      </c>
      <c r="R305" t="s">
        <v>96</v>
      </c>
      <c r="S305" t="s">
        <v>61</v>
      </c>
      <c r="T305" t="s">
        <v>32</v>
      </c>
    </row>
    <row r="306" spans="1:20" x14ac:dyDescent="0.25">
      <c r="A306" t="s">
        <v>20</v>
      </c>
      <c r="B306" t="s">
        <v>704</v>
      </c>
      <c r="C306" s="1">
        <v>45865</v>
      </c>
      <c r="D306" t="s">
        <v>705</v>
      </c>
      <c r="E306" t="s">
        <v>43</v>
      </c>
      <c r="F306" t="s">
        <v>55</v>
      </c>
      <c r="G306">
        <v>35</v>
      </c>
      <c r="H306" t="s">
        <v>44</v>
      </c>
      <c r="I306" t="s">
        <v>26</v>
      </c>
      <c r="J306" t="s">
        <v>57</v>
      </c>
      <c r="K306" t="s">
        <v>28</v>
      </c>
      <c r="L306">
        <v>1</v>
      </c>
      <c r="M306">
        <v>174000</v>
      </c>
      <c r="N306">
        <v>3</v>
      </c>
      <c r="O306">
        <v>168780</v>
      </c>
      <c r="P306">
        <v>28742.46</v>
      </c>
      <c r="Q306" t="s">
        <v>82</v>
      </c>
      <c r="R306" t="s">
        <v>30</v>
      </c>
      <c r="S306" t="s">
        <v>61</v>
      </c>
      <c r="T306" t="s">
        <v>40</v>
      </c>
    </row>
    <row r="307" spans="1:20" x14ac:dyDescent="0.25">
      <c r="A307" t="s">
        <v>20</v>
      </c>
      <c r="B307" t="s">
        <v>706</v>
      </c>
      <c r="C307" s="1">
        <v>46038</v>
      </c>
      <c r="D307" t="s">
        <v>707</v>
      </c>
      <c r="E307" t="s">
        <v>35</v>
      </c>
      <c r="F307" t="s">
        <v>24</v>
      </c>
      <c r="G307">
        <v>40</v>
      </c>
      <c r="H307" t="s">
        <v>25</v>
      </c>
      <c r="I307" t="s">
        <v>26</v>
      </c>
      <c r="J307" t="s">
        <v>81</v>
      </c>
      <c r="K307" t="s">
        <v>58</v>
      </c>
      <c r="L307">
        <v>1</v>
      </c>
      <c r="M307">
        <v>236000</v>
      </c>
      <c r="N307">
        <v>0</v>
      </c>
      <c r="O307">
        <v>236000</v>
      </c>
      <c r="P307">
        <v>27904.34</v>
      </c>
      <c r="Q307" t="s">
        <v>37</v>
      </c>
      <c r="R307" t="s">
        <v>60</v>
      </c>
      <c r="S307" t="s">
        <v>47</v>
      </c>
      <c r="T307" t="s">
        <v>32</v>
      </c>
    </row>
    <row r="308" spans="1:20" x14ac:dyDescent="0.25">
      <c r="A308" t="s">
        <v>20</v>
      </c>
      <c r="B308" t="s">
        <v>708</v>
      </c>
      <c r="C308" s="1">
        <v>45691</v>
      </c>
      <c r="D308" t="s">
        <v>709</v>
      </c>
      <c r="E308" t="s">
        <v>43</v>
      </c>
      <c r="F308" t="s">
        <v>24</v>
      </c>
      <c r="G308">
        <v>52</v>
      </c>
      <c r="H308" t="s">
        <v>73</v>
      </c>
      <c r="I308" t="s">
        <v>26</v>
      </c>
      <c r="J308" t="s">
        <v>81</v>
      </c>
      <c r="K308" t="s">
        <v>68</v>
      </c>
      <c r="L308">
        <v>1</v>
      </c>
      <c r="M308">
        <v>235000</v>
      </c>
      <c r="N308">
        <v>5</v>
      </c>
      <c r="O308">
        <v>223250</v>
      </c>
      <c r="P308">
        <v>13451.75</v>
      </c>
      <c r="Q308" t="s">
        <v>46</v>
      </c>
      <c r="R308" t="s">
        <v>30</v>
      </c>
      <c r="S308" t="s">
        <v>61</v>
      </c>
      <c r="T308" t="s">
        <v>40</v>
      </c>
    </row>
    <row r="309" spans="1:20" x14ac:dyDescent="0.25">
      <c r="A309" t="s">
        <v>20</v>
      </c>
      <c r="B309" t="s">
        <v>710</v>
      </c>
      <c r="C309" s="1">
        <v>45991</v>
      </c>
      <c r="D309" t="s">
        <v>711</v>
      </c>
      <c r="E309" t="s">
        <v>72</v>
      </c>
      <c r="F309" t="s">
        <v>55</v>
      </c>
      <c r="G309">
        <v>0</v>
      </c>
      <c r="H309" t="s">
        <v>25</v>
      </c>
      <c r="I309" t="s">
        <v>26</v>
      </c>
      <c r="J309" t="s">
        <v>64</v>
      </c>
      <c r="K309" t="s">
        <v>101</v>
      </c>
      <c r="L309">
        <v>1</v>
      </c>
      <c r="M309">
        <v>124000</v>
      </c>
      <c r="N309">
        <v>5</v>
      </c>
      <c r="O309">
        <v>117800</v>
      </c>
      <c r="P309">
        <v>12434.6</v>
      </c>
      <c r="Q309" t="s">
        <v>52</v>
      </c>
      <c r="R309" t="s">
        <v>60</v>
      </c>
      <c r="S309" t="s">
        <v>47</v>
      </c>
      <c r="T309" t="s">
        <v>40</v>
      </c>
    </row>
    <row r="310" spans="1:20" x14ac:dyDescent="0.25">
      <c r="A310" t="s">
        <v>20</v>
      </c>
      <c r="B310" t="s">
        <v>712</v>
      </c>
      <c r="C310" s="1">
        <v>46039</v>
      </c>
      <c r="D310" t="s">
        <v>713</v>
      </c>
      <c r="E310" t="s">
        <v>94</v>
      </c>
      <c r="F310" t="s">
        <v>24</v>
      </c>
      <c r="G310">
        <v>43</v>
      </c>
      <c r="H310" t="s">
        <v>73</v>
      </c>
      <c r="I310" t="s">
        <v>26</v>
      </c>
      <c r="J310" t="s">
        <v>64</v>
      </c>
      <c r="K310" t="s">
        <v>58</v>
      </c>
      <c r="L310">
        <v>1</v>
      </c>
      <c r="M310">
        <v>124000</v>
      </c>
      <c r="N310">
        <v>5</v>
      </c>
      <c r="O310">
        <v>117800</v>
      </c>
      <c r="P310">
        <v>10653.4</v>
      </c>
      <c r="Q310" t="s">
        <v>105</v>
      </c>
      <c r="R310" t="s">
        <v>96</v>
      </c>
      <c r="S310" t="s">
        <v>87</v>
      </c>
      <c r="T310" t="s">
        <v>32</v>
      </c>
    </row>
    <row r="311" spans="1:20" x14ac:dyDescent="0.25">
      <c r="A311" t="s">
        <v>20</v>
      </c>
      <c r="B311" t="s">
        <v>714</v>
      </c>
      <c r="C311" s="1">
        <v>45858</v>
      </c>
      <c r="D311" t="s">
        <v>715</v>
      </c>
      <c r="E311" t="s">
        <v>134</v>
      </c>
      <c r="F311" t="s">
        <v>24</v>
      </c>
      <c r="G311">
        <v>29</v>
      </c>
      <c r="H311" t="s">
        <v>51</v>
      </c>
      <c r="I311" t="s">
        <v>26</v>
      </c>
      <c r="J311" t="s">
        <v>27</v>
      </c>
      <c r="K311" t="s">
        <v>28</v>
      </c>
      <c r="L311">
        <v>1</v>
      </c>
      <c r="M311">
        <v>96000</v>
      </c>
      <c r="N311">
        <v>5</v>
      </c>
      <c r="O311">
        <v>91200</v>
      </c>
      <c r="P311">
        <v>6455.32</v>
      </c>
      <c r="Q311" t="s">
        <v>37</v>
      </c>
      <c r="R311" t="s">
        <v>38</v>
      </c>
      <c r="S311" t="s">
        <v>47</v>
      </c>
      <c r="T311" t="s">
        <v>32</v>
      </c>
    </row>
    <row r="312" spans="1:20" x14ac:dyDescent="0.25">
      <c r="A312" t="s">
        <v>20</v>
      </c>
      <c r="B312" t="s">
        <v>716</v>
      </c>
      <c r="C312" s="1">
        <v>46239</v>
      </c>
      <c r="D312" t="s">
        <v>717</v>
      </c>
      <c r="E312" t="s">
        <v>94</v>
      </c>
      <c r="F312" t="s">
        <v>55</v>
      </c>
      <c r="G312">
        <v>23</v>
      </c>
      <c r="H312" t="s">
        <v>56</v>
      </c>
      <c r="I312" t="s">
        <v>26</v>
      </c>
      <c r="J312" t="s">
        <v>36</v>
      </c>
      <c r="K312" t="s">
        <v>68</v>
      </c>
      <c r="L312">
        <v>0</v>
      </c>
      <c r="M312">
        <v>115000</v>
      </c>
      <c r="N312">
        <v>3</v>
      </c>
      <c r="O312">
        <v>111550</v>
      </c>
      <c r="P312">
        <v>14092.49</v>
      </c>
      <c r="Q312" t="s">
        <v>380</v>
      </c>
      <c r="R312" t="s">
        <v>96</v>
      </c>
      <c r="S312" t="s">
        <v>39</v>
      </c>
      <c r="T312" t="s">
        <v>40</v>
      </c>
    </row>
    <row r="313" spans="1:20" x14ac:dyDescent="0.25">
      <c r="A313" t="s">
        <v>20</v>
      </c>
      <c r="B313" t="s">
        <v>718</v>
      </c>
      <c r="C313" s="1">
        <v>46228</v>
      </c>
      <c r="D313" t="s">
        <v>719</v>
      </c>
      <c r="E313" t="s">
        <v>43</v>
      </c>
      <c r="F313" t="s">
        <v>55</v>
      </c>
      <c r="G313">
        <v>36</v>
      </c>
      <c r="H313" t="s">
        <v>85</v>
      </c>
      <c r="I313" t="s">
        <v>26</v>
      </c>
      <c r="J313" t="s">
        <v>27</v>
      </c>
      <c r="K313" t="s">
        <v>58</v>
      </c>
      <c r="L313">
        <v>1</v>
      </c>
      <c r="M313">
        <v>95000</v>
      </c>
      <c r="N313">
        <v>3</v>
      </c>
      <c r="O313">
        <v>92150</v>
      </c>
      <c r="P313">
        <v>13942.5</v>
      </c>
      <c r="Q313" t="s">
        <v>82</v>
      </c>
      <c r="R313" t="s">
        <v>60</v>
      </c>
      <c r="S313" t="s">
        <v>61</v>
      </c>
      <c r="T313" t="s">
        <v>32</v>
      </c>
    </row>
    <row r="314" spans="1:20" x14ac:dyDescent="0.25">
      <c r="A314" t="s">
        <v>20</v>
      </c>
      <c r="B314" t="s">
        <v>720</v>
      </c>
      <c r="C314" s="1">
        <v>46180</v>
      </c>
      <c r="D314" t="s">
        <v>721</v>
      </c>
      <c r="E314" t="s">
        <v>35</v>
      </c>
      <c r="F314" t="s">
        <v>55</v>
      </c>
      <c r="G314">
        <v>51</v>
      </c>
      <c r="H314" t="s">
        <v>73</v>
      </c>
      <c r="I314" t="s">
        <v>26</v>
      </c>
      <c r="J314" t="s">
        <v>81</v>
      </c>
      <c r="K314" t="s">
        <v>58</v>
      </c>
      <c r="L314">
        <v>2</v>
      </c>
      <c r="M314">
        <v>235000</v>
      </c>
      <c r="N314">
        <v>3</v>
      </c>
      <c r="O314">
        <v>455900</v>
      </c>
      <c r="P314">
        <v>70964.91</v>
      </c>
      <c r="Q314" t="s">
        <v>74</v>
      </c>
      <c r="R314" t="s">
        <v>38</v>
      </c>
      <c r="S314" t="s">
        <v>61</v>
      </c>
      <c r="T314" t="s">
        <v>32</v>
      </c>
    </row>
    <row r="315" spans="1:20" x14ac:dyDescent="0.25">
      <c r="A315" t="s">
        <v>20</v>
      </c>
      <c r="B315" t="s">
        <v>722</v>
      </c>
      <c r="C315" s="1">
        <v>45731</v>
      </c>
      <c r="D315" t="s">
        <v>723</v>
      </c>
      <c r="E315" t="s">
        <v>129</v>
      </c>
      <c r="F315" t="s">
        <v>24</v>
      </c>
      <c r="G315">
        <v>25</v>
      </c>
      <c r="H315" t="s">
        <v>56</v>
      </c>
      <c r="I315" t="s">
        <v>26</v>
      </c>
      <c r="J315" t="s">
        <v>45</v>
      </c>
      <c r="K315" t="s">
        <v>68</v>
      </c>
      <c r="L315">
        <v>1</v>
      </c>
      <c r="M315">
        <v>99000</v>
      </c>
      <c r="N315">
        <v>7</v>
      </c>
      <c r="O315">
        <v>92070</v>
      </c>
      <c r="P315">
        <v>10041.299999999999</v>
      </c>
      <c r="Q315" t="s">
        <v>86</v>
      </c>
      <c r="R315" t="s">
        <v>60</v>
      </c>
      <c r="S315" t="s">
        <v>61</v>
      </c>
      <c r="T315" t="s">
        <v>40</v>
      </c>
    </row>
    <row r="316" spans="1:20" x14ac:dyDescent="0.25">
      <c r="A316" t="s">
        <v>20</v>
      </c>
      <c r="B316" t="s">
        <v>724</v>
      </c>
      <c r="C316" s="1">
        <v>46191</v>
      </c>
      <c r="D316" t="s">
        <v>725</v>
      </c>
      <c r="E316" t="s">
        <v>94</v>
      </c>
      <c r="F316" t="s">
        <v>55</v>
      </c>
      <c r="G316">
        <v>48</v>
      </c>
      <c r="H316" t="s">
        <v>95</v>
      </c>
      <c r="I316" t="s">
        <v>26</v>
      </c>
      <c r="J316" t="s">
        <v>104</v>
      </c>
      <c r="K316" t="s">
        <v>68</v>
      </c>
      <c r="L316">
        <v>1</v>
      </c>
      <c r="M316">
        <v>170000</v>
      </c>
      <c r="N316">
        <v>3</v>
      </c>
      <c r="O316">
        <v>164900</v>
      </c>
      <c r="P316">
        <v>17042.93</v>
      </c>
      <c r="Q316" t="s">
        <v>105</v>
      </c>
      <c r="R316" t="s">
        <v>96</v>
      </c>
      <c r="S316" t="s">
        <v>61</v>
      </c>
      <c r="T316" t="s">
        <v>32</v>
      </c>
    </row>
    <row r="317" spans="1:20" x14ac:dyDescent="0.25">
      <c r="A317" t="s">
        <v>20</v>
      </c>
      <c r="B317" t="s">
        <v>726</v>
      </c>
      <c r="C317" s="1">
        <v>46142</v>
      </c>
      <c r="D317" t="s">
        <v>727</v>
      </c>
      <c r="E317" t="s">
        <v>80</v>
      </c>
      <c r="F317" t="s">
        <v>55</v>
      </c>
      <c r="G317">
        <v>55</v>
      </c>
      <c r="H317" t="s">
        <v>108</v>
      </c>
      <c r="I317" t="s">
        <v>26</v>
      </c>
      <c r="J317" t="s">
        <v>104</v>
      </c>
      <c r="K317" t="s">
        <v>58</v>
      </c>
      <c r="L317">
        <v>1</v>
      </c>
      <c r="M317">
        <v>170000</v>
      </c>
      <c r="N317">
        <v>0</v>
      </c>
      <c r="O317">
        <v>170000</v>
      </c>
      <c r="P317">
        <v>35450.699999999997</v>
      </c>
      <c r="Q317" t="s">
        <v>82</v>
      </c>
      <c r="R317" t="s">
        <v>30</v>
      </c>
      <c r="S317" t="s">
        <v>39</v>
      </c>
      <c r="T317" t="s">
        <v>32</v>
      </c>
    </row>
    <row r="318" spans="1:20" x14ac:dyDescent="0.25">
      <c r="A318" t="s">
        <v>20</v>
      </c>
      <c r="B318" t="s">
        <v>728</v>
      </c>
      <c r="C318" s="1">
        <v>45787</v>
      </c>
      <c r="D318" t="s">
        <v>729</v>
      </c>
      <c r="E318" t="s">
        <v>129</v>
      </c>
      <c r="F318" t="s">
        <v>55</v>
      </c>
      <c r="G318">
        <v>28</v>
      </c>
      <c r="H318" t="s">
        <v>95</v>
      </c>
      <c r="I318" t="s">
        <v>26</v>
      </c>
      <c r="J318" t="s">
        <v>27</v>
      </c>
      <c r="K318" t="s">
        <v>28</v>
      </c>
      <c r="L318">
        <v>1</v>
      </c>
      <c r="M318">
        <v>94000</v>
      </c>
      <c r="N318">
        <v>10</v>
      </c>
      <c r="O318">
        <v>84600</v>
      </c>
      <c r="P318">
        <v>8074.5</v>
      </c>
      <c r="Q318" t="s">
        <v>86</v>
      </c>
      <c r="R318" t="s">
        <v>60</v>
      </c>
      <c r="S318" t="s">
        <v>47</v>
      </c>
      <c r="T318" t="s">
        <v>40</v>
      </c>
    </row>
    <row r="319" spans="1:20" x14ac:dyDescent="0.25">
      <c r="A319" t="s">
        <v>20</v>
      </c>
      <c r="B319" t="s">
        <v>730</v>
      </c>
      <c r="C319" s="1">
        <v>46263</v>
      </c>
      <c r="D319" t="s">
        <v>731</v>
      </c>
      <c r="E319" t="s">
        <v>94</v>
      </c>
      <c r="F319" t="s">
        <v>24</v>
      </c>
      <c r="G319">
        <v>49</v>
      </c>
      <c r="H319" t="s">
        <v>51</v>
      </c>
      <c r="I319" t="s">
        <v>26</v>
      </c>
      <c r="J319" t="s">
        <v>36</v>
      </c>
      <c r="K319" t="s">
        <v>101</v>
      </c>
      <c r="L319">
        <v>1</v>
      </c>
      <c r="M319">
        <v>114000</v>
      </c>
      <c r="N319">
        <v>10</v>
      </c>
      <c r="O319">
        <v>102600</v>
      </c>
      <c r="P319">
        <v>6302.55</v>
      </c>
      <c r="Q319" t="s">
        <v>46</v>
      </c>
      <c r="R319" t="s">
        <v>96</v>
      </c>
      <c r="S319" t="s">
        <v>69</v>
      </c>
      <c r="T319" t="s">
        <v>40</v>
      </c>
    </row>
    <row r="320" spans="1:20" x14ac:dyDescent="0.25">
      <c r="A320" t="s">
        <v>20</v>
      </c>
      <c r="B320" t="s">
        <v>732</v>
      </c>
      <c r="C320" s="1">
        <v>46193</v>
      </c>
      <c r="D320" t="s">
        <v>733</v>
      </c>
      <c r="E320" t="s">
        <v>43</v>
      </c>
      <c r="F320" t="s">
        <v>24</v>
      </c>
      <c r="G320">
        <v>28</v>
      </c>
      <c r="H320" t="s">
        <v>56</v>
      </c>
      <c r="I320" t="s">
        <v>26</v>
      </c>
      <c r="J320" t="s">
        <v>104</v>
      </c>
      <c r="K320" t="s">
        <v>58</v>
      </c>
      <c r="L320">
        <v>1</v>
      </c>
      <c r="M320">
        <v>169000</v>
      </c>
      <c r="N320">
        <v>3</v>
      </c>
      <c r="O320">
        <v>163930</v>
      </c>
      <c r="P320">
        <v>31895.93</v>
      </c>
      <c r="Q320" t="s">
        <v>105</v>
      </c>
      <c r="R320" t="s">
        <v>38</v>
      </c>
      <c r="S320" t="s">
        <v>47</v>
      </c>
      <c r="T320" t="s">
        <v>40</v>
      </c>
    </row>
    <row r="321" spans="1:20" x14ac:dyDescent="0.25">
      <c r="A321" t="s">
        <v>20</v>
      </c>
      <c r="B321" t="s">
        <v>734</v>
      </c>
      <c r="C321" s="1">
        <v>46219</v>
      </c>
      <c r="D321" t="s">
        <v>735</v>
      </c>
      <c r="E321" t="s">
        <v>50</v>
      </c>
      <c r="F321" t="s">
        <v>24</v>
      </c>
      <c r="G321">
        <v>43</v>
      </c>
      <c r="H321" t="s">
        <v>95</v>
      </c>
      <c r="I321" t="s">
        <v>26</v>
      </c>
      <c r="J321" t="s">
        <v>118</v>
      </c>
      <c r="K321" t="s">
        <v>58</v>
      </c>
      <c r="L321">
        <v>1</v>
      </c>
      <c r="M321">
        <v>86000</v>
      </c>
      <c r="N321">
        <v>2</v>
      </c>
      <c r="O321">
        <v>84280</v>
      </c>
      <c r="P321">
        <v>8977.36</v>
      </c>
      <c r="Q321" t="s">
        <v>59</v>
      </c>
      <c r="R321" t="s">
        <v>96</v>
      </c>
      <c r="S321" t="s">
        <v>31</v>
      </c>
      <c r="T321" t="s">
        <v>40</v>
      </c>
    </row>
    <row r="322" spans="1:20" x14ac:dyDescent="0.25">
      <c r="A322" t="s">
        <v>20</v>
      </c>
      <c r="B322" t="s">
        <v>736</v>
      </c>
      <c r="C322" s="1">
        <v>45936</v>
      </c>
      <c r="D322" t="s">
        <v>737</v>
      </c>
      <c r="E322" t="s">
        <v>738</v>
      </c>
      <c r="F322" t="s">
        <v>24</v>
      </c>
      <c r="G322">
        <v>38</v>
      </c>
      <c r="H322" t="s">
        <v>44</v>
      </c>
      <c r="I322" t="s">
        <v>26</v>
      </c>
      <c r="J322" t="s">
        <v>77</v>
      </c>
      <c r="K322" t="s">
        <v>68</v>
      </c>
      <c r="L322">
        <v>1</v>
      </c>
      <c r="M322">
        <v>195000</v>
      </c>
      <c r="N322">
        <v>10</v>
      </c>
      <c r="O322">
        <v>175500</v>
      </c>
      <c r="P322">
        <v>17794.25</v>
      </c>
      <c r="Q322" t="s">
        <v>82</v>
      </c>
      <c r="R322" t="s">
        <v>96</v>
      </c>
      <c r="S322" t="s">
        <v>31</v>
      </c>
      <c r="T322" t="s">
        <v>40</v>
      </c>
    </row>
    <row r="323" spans="1:20" x14ac:dyDescent="0.25">
      <c r="A323" t="s">
        <v>20</v>
      </c>
      <c r="B323" t="s">
        <v>739</v>
      </c>
      <c r="C323" s="1">
        <v>45850</v>
      </c>
      <c r="D323" t="s">
        <v>740</v>
      </c>
      <c r="E323" t="s">
        <v>80</v>
      </c>
      <c r="F323" t="s">
        <v>55</v>
      </c>
      <c r="G323">
        <v>40</v>
      </c>
      <c r="H323" t="s">
        <v>85</v>
      </c>
      <c r="I323" t="s">
        <v>26</v>
      </c>
      <c r="J323" t="s">
        <v>27</v>
      </c>
      <c r="K323" t="s">
        <v>28</v>
      </c>
      <c r="L323">
        <v>1</v>
      </c>
      <c r="M323">
        <v>95000</v>
      </c>
      <c r="N323">
        <v>10</v>
      </c>
      <c r="O323">
        <v>85500</v>
      </c>
      <c r="P323">
        <v>4300.6099999999997</v>
      </c>
      <c r="Q323" t="s">
        <v>105</v>
      </c>
      <c r="R323" t="s">
        <v>96</v>
      </c>
      <c r="S323" t="s">
        <v>69</v>
      </c>
      <c r="T323" t="s">
        <v>40</v>
      </c>
    </row>
    <row r="324" spans="1:20" x14ac:dyDescent="0.25">
      <c r="A324" t="s">
        <v>20</v>
      </c>
      <c r="B324" t="s">
        <v>741</v>
      </c>
      <c r="C324" s="1">
        <v>45812</v>
      </c>
      <c r="D324" t="s">
        <v>742</v>
      </c>
      <c r="E324" t="s">
        <v>35</v>
      </c>
      <c r="F324" t="s">
        <v>55</v>
      </c>
      <c r="G324">
        <v>20</v>
      </c>
      <c r="H324" t="s">
        <v>73</v>
      </c>
      <c r="I324" t="s">
        <v>26</v>
      </c>
      <c r="J324" t="s">
        <v>104</v>
      </c>
      <c r="K324" t="s">
        <v>101</v>
      </c>
      <c r="L324">
        <v>1</v>
      </c>
      <c r="M324">
        <v>172000</v>
      </c>
      <c r="N324">
        <v>0</v>
      </c>
      <c r="O324">
        <v>172000</v>
      </c>
      <c r="P324">
        <v>33034.79</v>
      </c>
      <c r="Q324" t="s">
        <v>59</v>
      </c>
      <c r="R324" t="s">
        <v>60</v>
      </c>
      <c r="S324" t="s">
        <v>47</v>
      </c>
      <c r="T324" t="s">
        <v>40</v>
      </c>
    </row>
    <row r="325" spans="1:20" x14ac:dyDescent="0.25">
      <c r="A325" t="s">
        <v>20</v>
      </c>
      <c r="B325" t="s">
        <v>743</v>
      </c>
      <c r="C325" s="1">
        <v>46059</v>
      </c>
      <c r="D325" t="s">
        <v>744</v>
      </c>
      <c r="E325" t="s">
        <v>35</v>
      </c>
      <c r="F325" t="s">
        <v>55</v>
      </c>
      <c r="G325">
        <v>24</v>
      </c>
      <c r="H325" t="s">
        <v>25</v>
      </c>
      <c r="I325" t="s">
        <v>26</v>
      </c>
      <c r="J325" t="s">
        <v>57</v>
      </c>
      <c r="K325" t="s">
        <v>68</v>
      </c>
      <c r="L325">
        <v>1</v>
      </c>
      <c r="M325">
        <v>174000</v>
      </c>
      <c r="N325">
        <v>0</v>
      </c>
      <c r="O325">
        <v>174000</v>
      </c>
      <c r="P325">
        <v>32715.41</v>
      </c>
      <c r="Q325" t="s">
        <v>74</v>
      </c>
      <c r="R325" t="s">
        <v>38</v>
      </c>
      <c r="S325" t="s">
        <v>69</v>
      </c>
      <c r="T325" t="s">
        <v>32</v>
      </c>
    </row>
    <row r="326" spans="1:20" x14ac:dyDescent="0.25">
      <c r="A326" t="s">
        <v>20</v>
      </c>
      <c r="B326" t="s">
        <v>745</v>
      </c>
      <c r="C326" s="1">
        <v>45692</v>
      </c>
      <c r="D326" t="s">
        <v>746</v>
      </c>
      <c r="E326" t="s">
        <v>35</v>
      </c>
      <c r="F326" t="s">
        <v>55</v>
      </c>
      <c r="G326">
        <v>32</v>
      </c>
      <c r="H326" t="s">
        <v>95</v>
      </c>
      <c r="I326" t="s">
        <v>26</v>
      </c>
      <c r="J326" t="s">
        <v>111</v>
      </c>
      <c r="K326" t="s">
        <v>68</v>
      </c>
      <c r="L326">
        <v>1</v>
      </c>
      <c r="M326">
        <v>125000</v>
      </c>
      <c r="N326">
        <v>2</v>
      </c>
      <c r="O326">
        <v>122500</v>
      </c>
      <c r="P326">
        <v>13935.71</v>
      </c>
      <c r="Q326" t="s">
        <v>46</v>
      </c>
      <c r="R326" t="s">
        <v>38</v>
      </c>
      <c r="S326" t="s">
        <v>61</v>
      </c>
      <c r="T326" t="s">
        <v>40</v>
      </c>
    </row>
    <row r="327" spans="1:20" x14ac:dyDescent="0.25">
      <c r="A327" t="s">
        <v>20</v>
      </c>
      <c r="B327" t="s">
        <v>747</v>
      </c>
      <c r="C327" s="1">
        <v>46191</v>
      </c>
      <c r="D327" t="s">
        <v>748</v>
      </c>
      <c r="E327" t="s">
        <v>72</v>
      </c>
      <c r="F327" t="s">
        <v>24</v>
      </c>
      <c r="G327">
        <v>27</v>
      </c>
      <c r="H327" t="s">
        <v>73</v>
      </c>
      <c r="I327" t="s">
        <v>26</v>
      </c>
      <c r="J327" t="s">
        <v>64</v>
      </c>
      <c r="K327" t="s">
        <v>101</v>
      </c>
      <c r="L327">
        <v>1</v>
      </c>
      <c r="M327">
        <v>123000</v>
      </c>
      <c r="N327">
        <v>10</v>
      </c>
      <c r="O327">
        <v>110700</v>
      </c>
      <c r="P327">
        <v>923.67</v>
      </c>
      <c r="Q327" t="s">
        <v>52</v>
      </c>
      <c r="R327" t="s">
        <v>60</v>
      </c>
      <c r="S327" t="s">
        <v>69</v>
      </c>
      <c r="T327" t="s">
        <v>32</v>
      </c>
    </row>
    <row r="328" spans="1:20" x14ac:dyDescent="0.25">
      <c r="A328" t="s">
        <v>20</v>
      </c>
      <c r="B328" t="s">
        <v>749</v>
      </c>
      <c r="C328" s="1">
        <v>45940</v>
      </c>
      <c r="D328" t="s">
        <v>750</v>
      </c>
      <c r="E328" t="s">
        <v>94</v>
      </c>
      <c r="F328" t="s">
        <v>55</v>
      </c>
      <c r="G328">
        <v>27</v>
      </c>
      <c r="H328" t="s">
        <v>44</v>
      </c>
      <c r="I328" t="s">
        <v>26</v>
      </c>
      <c r="J328" t="s">
        <v>27</v>
      </c>
      <c r="K328" t="s">
        <v>28</v>
      </c>
      <c r="L328">
        <v>1</v>
      </c>
      <c r="M328">
        <v>95000</v>
      </c>
      <c r="N328">
        <v>0</v>
      </c>
      <c r="O328">
        <v>95000</v>
      </c>
      <c r="P328">
        <v>18992.09</v>
      </c>
      <c r="Q328" t="s">
        <v>105</v>
      </c>
      <c r="R328" t="s">
        <v>38</v>
      </c>
      <c r="S328" t="s">
        <v>61</v>
      </c>
      <c r="T328" t="s">
        <v>32</v>
      </c>
    </row>
    <row r="329" spans="1:20" x14ac:dyDescent="0.25">
      <c r="A329" t="s">
        <v>20</v>
      </c>
      <c r="B329" t="s">
        <v>751</v>
      </c>
      <c r="C329" s="1">
        <v>46004</v>
      </c>
      <c r="D329" t="s">
        <v>752</v>
      </c>
      <c r="E329" t="s">
        <v>80</v>
      </c>
      <c r="F329" t="s">
        <v>24</v>
      </c>
      <c r="G329">
        <v>23</v>
      </c>
      <c r="H329" t="s">
        <v>108</v>
      </c>
      <c r="I329" t="s">
        <v>26</v>
      </c>
      <c r="J329" t="s">
        <v>64</v>
      </c>
      <c r="K329" t="s">
        <v>68</v>
      </c>
      <c r="L329">
        <v>1</v>
      </c>
      <c r="M329">
        <v>125000</v>
      </c>
      <c r="N329">
        <v>0</v>
      </c>
      <c r="O329">
        <v>125000</v>
      </c>
      <c r="P329">
        <v>17210.830000000002</v>
      </c>
      <c r="Q329" t="s">
        <v>82</v>
      </c>
      <c r="R329" t="s">
        <v>96</v>
      </c>
      <c r="S329" t="s">
        <v>47</v>
      </c>
      <c r="T329" t="s">
        <v>32</v>
      </c>
    </row>
    <row r="330" spans="1:20" x14ac:dyDescent="0.25">
      <c r="A330" t="s">
        <v>20</v>
      </c>
      <c r="B330" t="s">
        <v>753</v>
      </c>
      <c r="C330" s="1">
        <v>46044</v>
      </c>
      <c r="D330" t="s">
        <v>754</v>
      </c>
      <c r="E330" t="s">
        <v>129</v>
      </c>
      <c r="F330" t="s">
        <v>24</v>
      </c>
      <c r="G330">
        <v>42</v>
      </c>
      <c r="H330" t="s">
        <v>56</v>
      </c>
      <c r="I330" t="s">
        <v>26</v>
      </c>
      <c r="J330" t="s">
        <v>64</v>
      </c>
      <c r="K330" t="s">
        <v>28</v>
      </c>
      <c r="L330">
        <v>1</v>
      </c>
      <c r="M330">
        <v>125000</v>
      </c>
      <c r="N330">
        <v>10</v>
      </c>
      <c r="O330">
        <v>112500</v>
      </c>
      <c r="P330">
        <v>12105.52</v>
      </c>
      <c r="Q330" t="s">
        <v>46</v>
      </c>
      <c r="R330" t="s">
        <v>38</v>
      </c>
      <c r="S330" t="s">
        <v>87</v>
      </c>
      <c r="T330" t="s">
        <v>40</v>
      </c>
    </row>
    <row r="331" spans="1:20" x14ac:dyDescent="0.25">
      <c r="A331" t="s">
        <v>20</v>
      </c>
      <c r="B331" t="s">
        <v>755</v>
      </c>
      <c r="C331" s="1">
        <v>46137</v>
      </c>
      <c r="D331" t="s">
        <v>756</v>
      </c>
      <c r="E331" t="s">
        <v>129</v>
      </c>
      <c r="F331" t="s">
        <v>55</v>
      </c>
      <c r="G331">
        <v>37</v>
      </c>
      <c r="H331" t="s">
        <v>85</v>
      </c>
      <c r="I331" t="s">
        <v>26</v>
      </c>
      <c r="J331" t="s">
        <v>36</v>
      </c>
      <c r="K331" t="s">
        <v>68</v>
      </c>
      <c r="L331">
        <v>1</v>
      </c>
      <c r="M331">
        <v>114000</v>
      </c>
      <c r="N331">
        <v>7</v>
      </c>
      <c r="O331">
        <v>106020</v>
      </c>
      <c r="P331">
        <v>12343.95</v>
      </c>
      <c r="Q331" t="s">
        <v>46</v>
      </c>
      <c r="R331" t="s">
        <v>60</v>
      </c>
      <c r="S331" t="s">
        <v>39</v>
      </c>
      <c r="T331" t="s">
        <v>40</v>
      </c>
    </row>
    <row r="332" spans="1:20" x14ac:dyDescent="0.25">
      <c r="A332" t="s">
        <v>20</v>
      </c>
      <c r="B332" t="s">
        <v>757</v>
      </c>
      <c r="C332" s="1">
        <v>45677</v>
      </c>
      <c r="D332" t="s">
        <v>758</v>
      </c>
      <c r="E332" t="s">
        <v>50</v>
      </c>
      <c r="F332" t="s">
        <v>24</v>
      </c>
      <c r="G332">
        <v>43</v>
      </c>
      <c r="H332" t="s">
        <v>25</v>
      </c>
      <c r="I332" t="s">
        <v>26</v>
      </c>
      <c r="J332" t="s">
        <v>57</v>
      </c>
      <c r="K332" t="s">
        <v>28</v>
      </c>
      <c r="L332">
        <v>1</v>
      </c>
      <c r="M332">
        <v>176000</v>
      </c>
      <c r="N332">
        <v>5</v>
      </c>
      <c r="O332">
        <v>167200</v>
      </c>
      <c r="P332">
        <v>14425.15</v>
      </c>
      <c r="Q332" t="s">
        <v>59</v>
      </c>
      <c r="R332" t="s">
        <v>96</v>
      </c>
      <c r="S332" t="s">
        <v>87</v>
      </c>
      <c r="T332" t="s">
        <v>40</v>
      </c>
    </row>
    <row r="333" spans="1:20" x14ac:dyDescent="0.25">
      <c r="A333" t="s">
        <v>20</v>
      </c>
      <c r="B333" t="s">
        <v>759</v>
      </c>
      <c r="C333" s="1">
        <v>45771</v>
      </c>
      <c r="D333" t="s">
        <v>760</v>
      </c>
      <c r="E333" t="s">
        <v>23</v>
      </c>
      <c r="F333" t="s">
        <v>55</v>
      </c>
      <c r="G333">
        <v>26</v>
      </c>
      <c r="H333" t="s">
        <v>73</v>
      </c>
      <c r="I333" t="s">
        <v>26</v>
      </c>
      <c r="J333" t="s">
        <v>36</v>
      </c>
      <c r="K333" t="s">
        <v>68</v>
      </c>
      <c r="L333">
        <v>1</v>
      </c>
      <c r="M333">
        <v>115000</v>
      </c>
      <c r="N333">
        <v>5</v>
      </c>
      <c r="O333">
        <v>109250</v>
      </c>
      <c r="P333">
        <v>10705.53</v>
      </c>
      <c r="Q333" t="s">
        <v>37</v>
      </c>
      <c r="R333" t="s">
        <v>30</v>
      </c>
      <c r="S333" t="s">
        <v>31</v>
      </c>
      <c r="T333" t="s">
        <v>32</v>
      </c>
    </row>
    <row r="334" spans="1:20" x14ac:dyDescent="0.25">
      <c r="A334" t="s">
        <v>20</v>
      </c>
      <c r="B334" t="s">
        <v>761</v>
      </c>
      <c r="C334" s="1">
        <v>46159</v>
      </c>
      <c r="D334" t="s">
        <v>762</v>
      </c>
      <c r="E334" t="s">
        <v>72</v>
      </c>
      <c r="F334" t="s">
        <v>55</v>
      </c>
      <c r="G334">
        <v>53</v>
      </c>
      <c r="H334" t="s">
        <v>44</v>
      </c>
      <c r="I334" t="s">
        <v>26</v>
      </c>
      <c r="J334" t="s">
        <v>57</v>
      </c>
      <c r="K334" t="s">
        <v>101</v>
      </c>
      <c r="L334">
        <v>1</v>
      </c>
      <c r="M334">
        <v>176000</v>
      </c>
      <c r="N334">
        <v>10</v>
      </c>
      <c r="O334">
        <v>158400</v>
      </c>
      <c r="P334">
        <v>3457.35</v>
      </c>
      <c r="Q334" t="s">
        <v>52</v>
      </c>
      <c r="R334" t="s">
        <v>30</v>
      </c>
      <c r="S334" t="s">
        <v>69</v>
      </c>
      <c r="T334" t="s">
        <v>32</v>
      </c>
    </row>
    <row r="335" spans="1:20" x14ac:dyDescent="0.25">
      <c r="A335" t="s">
        <v>20</v>
      </c>
      <c r="B335" t="s">
        <v>763</v>
      </c>
      <c r="C335" s="1">
        <v>46083</v>
      </c>
      <c r="D335" t="s">
        <v>764</v>
      </c>
      <c r="E335" t="s">
        <v>80</v>
      </c>
      <c r="F335" t="s">
        <v>24</v>
      </c>
      <c r="G335">
        <v>43</v>
      </c>
      <c r="H335" t="s">
        <v>108</v>
      </c>
      <c r="I335" t="s">
        <v>26</v>
      </c>
      <c r="J335" t="s">
        <v>57</v>
      </c>
      <c r="K335" t="s">
        <v>28</v>
      </c>
      <c r="L335">
        <v>1</v>
      </c>
      <c r="M335">
        <v>177000</v>
      </c>
      <c r="N335">
        <v>0</v>
      </c>
      <c r="O335">
        <v>177000</v>
      </c>
      <c r="P335">
        <v>31273.93</v>
      </c>
      <c r="Q335" t="s">
        <v>82</v>
      </c>
      <c r="R335" t="s">
        <v>60</v>
      </c>
      <c r="S335" t="s">
        <v>69</v>
      </c>
      <c r="T335" t="s">
        <v>32</v>
      </c>
    </row>
    <row r="336" spans="1:20" x14ac:dyDescent="0.25">
      <c r="A336" t="s">
        <v>20</v>
      </c>
      <c r="B336" t="s">
        <v>765</v>
      </c>
      <c r="C336" s="1">
        <v>45855</v>
      </c>
      <c r="D336" t="s">
        <v>766</v>
      </c>
      <c r="E336" t="s">
        <v>50</v>
      </c>
      <c r="F336" t="s">
        <v>55</v>
      </c>
      <c r="G336">
        <v>53</v>
      </c>
      <c r="H336" t="s">
        <v>108</v>
      </c>
      <c r="I336" t="s">
        <v>26</v>
      </c>
      <c r="J336" t="s">
        <v>36</v>
      </c>
      <c r="K336" t="s">
        <v>58</v>
      </c>
      <c r="L336">
        <v>1</v>
      </c>
      <c r="M336">
        <v>114000</v>
      </c>
      <c r="N336">
        <v>7</v>
      </c>
      <c r="O336">
        <v>106020</v>
      </c>
      <c r="P336">
        <v>11828.67</v>
      </c>
      <c r="Q336" t="s">
        <v>82</v>
      </c>
      <c r="R336" t="s">
        <v>60</v>
      </c>
      <c r="S336" t="s">
        <v>61</v>
      </c>
      <c r="T336" t="s">
        <v>40</v>
      </c>
    </row>
    <row r="337" spans="1:20" x14ac:dyDescent="0.25">
      <c r="A337" t="s">
        <v>20</v>
      </c>
      <c r="B337" t="s">
        <v>767</v>
      </c>
      <c r="C337" s="1">
        <v>46003</v>
      </c>
      <c r="D337" t="s">
        <v>768</v>
      </c>
      <c r="E337" t="s">
        <v>35</v>
      </c>
      <c r="F337" t="s">
        <v>24</v>
      </c>
      <c r="G337">
        <v>30</v>
      </c>
      <c r="H337" t="s">
        <v>108</v>
      </c>
      <c r="I337" t="s">
        <v>26</v>
      </c>
      <c r="J337" t="s">
        <v>77</v>
      </c>
      <c r="K337" t="s">
        <v>101</v>
      </c>
      <c r="L337">
        <v>1</v>
      </c>
      <c r="M337">
        <v>194000</v>
      </c>
      <c r="N337">
        <v>7</v>
      </c>
      <c r="O337">
        <v>180420</v>
      </c>
      <c r="P337">
        <v>19751.75</v>
      </c>
      <c r="Q337" t="s">
        <v>86</v>
      </c>
      <c r="R337" t="s">
        <v>60</v>
      </c>
      <c r="S337" t="s">
        <v>47</v>
      </c>
      <c r="T337" t="s">
        <v>40</v>
      </c>
    </row>
    <row r="338" spans="1:20" x14ac:dyDescent="0.25">
      <c r="A338" t="s">
        <v>20</v>
      </c>
      <c r="B338" t="s">
        <v>769</v>
      </c>
      <c r="C338" s="1">
        <v>45918</v>
      </c>
      <c r="D338" t="s">
        <v>770</v>
      </c>
      <c r="E338" t="s">
        <v>35</v>
      </c>
      <c r="F338" t="s">
        <v>24</v>
      </c>
      <c r="G338">
        <v>43</v>
      </c>
      <c r="H338" t="s">
        <v>44</v>
      </c>
      <c r="I338" t="s">
        <v>26</v>
      </c>
      <c r="J338" t="s">
        <v>64</v>
      </c>
      <c r="K338" t="s">
        <v>58</v>
      </c>
      <c r="L338">
        <v>1</v>
      </c>
      <c r="M338">
        <v>124000</v>
      </c>
      <c r="N338">
        <v>5</v>
      </c>
      <c r="O338">
        <v>117800</v>
      </c>
      <c r="P338">
        <v>9686.26</v>
      </c>
      <c r="Q338" t="s">
        <v>105</v>
      </c>
      <c r="R338" t="s">
        <v>30</v>
      </c>
      <c r="S338" t="s">
        <v>39</v>
      </c>
      <c r="T338" t="s">
        <v>32</v>
      </c>
    </row>
    <row r="339" spans="1:20" x14ac:dyDescent="0.25">
      <c r="A339" t="s">
        <v>20</v>
      </c>
      <c r="B339" t="s">
        <v>771</v>
      </c>
      <c r="C339" s="1">
        <v>45885</v>
      </c>
      <c r="D339" t="s">
        <v>772</v>
      </c>
      <c r="E339" t="s">
        <v>43</v>
      </c>
      <c r="F339" t="s">
        <v>55</v>
      </c>
      <c r="G339">
        <v>33</v>
      </c>
      <c r="H339" t="s">
        <v>73</v>
      </c>
      <c r="I339" t="s">
        <v>26</v>
      </c>
      <c r="J339" t="s">
        <v>36</v>
      </c>
      <c r="K339" t="s">
        <v>101</v>
      </c>
      <c r="L339">
        <v>3</v>
      </c>
      <c r="M339">
        <v>115000</v>
      </c>
      <c r="N339">
        <v>0</v>
      </c>
      <c r="O339">
        <v>345000</v>
      </c>
      <c r="P339">
        <v>63466.17</v>
      </c>
      <c r="Q339" t="s">
        <v>37</v>
      </c>
      <c r="R339" t="s">
        <v>30</v>
      </c>
      <c r="S339" t="s">
        <v>69</v>
      </c>
      <c r="T339" t="s">
        <v>40</v>
      </c>
    </row>
    <row r="340" spans="1:20" x14ac:dyDescent="0.25">
      <c r="A340" t="s">
        <v>20</v>
      </c>
      <c r="B340" t="s">
        <v>773</v>
      </c>
      <c r="C340" s="1">
        <v>45920</v>
      </c>
      <c r="D340" t="s">
        <v>774</v>
      </c>
      <c r="E340" t="s">
        <v>23</v>
      </c>
      <c r="F340" t="s">
        <v>24</v>
      </c>
      <c r="G340">
        <v>39</v>
      </c>
      <c r="H340" t="s">
        <v>73</v>
      </c>
      <c r="I340" t="s">
        <v>26</v>
      </c>
      <c r="J340" t="s">
        <v>64</v>
      </c>
      <c r="K340" t="s">
        <v>68</v>
      </c>
      <c r="L340">
        <v>1</v>
      </c>
      <c r="M340">
        <v>125000</v>
      </c>
      <c r="N340">
        <v>7</v>
      </c>
      <c r="O340">
        <v>116250</v>
      </c>
      <c r="P340">
        <v>15002.15</v>
      </c>
      <c r="Q340" t="s">
        <v>82</v>
      </c>
      <c r="R340" t="s">
        <v>60</v>
      </c>
      <c r="S340" t="s">
        <v>47</v>
      </c>
      <c r="T340" t="s">
        <v>32</v>
      </c>
    </row>
    <row r="341" spans="1:20" x14ac:dyDescent="0.25">
      <c r="A341" t="s">
        <v>20</v>
      </c>
      <c r="B341" t="s">
        <v>775</v>
      </c>
      <c r="C341" s="1">
        <v>46248</v>
      </c>
      <c r="D341" t="s">
        <v>776</v>
      </c>
      <c r="E341" t="s">
        <v>23</v>
      </c>
      <c r="F341" t="s">
        <v>55</v>
      </c>
      <c r="G341">
        <v>44</v>
      </c>
      <c r="H341" t="s">
        <v>197</v>
      </c>
      <c r="I341" t="s">
        <v>26</v>
      </c>
      <c r="J341" t="s">
        <v>57</v>
      </c>
      <c r="K341" t="s">
        <v>101</v>
      </c>
      <c r="L341">
        <v>1</v>
      </c>
      <c r="M341">
        <v>175000</v>
      </c>
      <c r="N341">
        <v>0</v>
      </c>
      <c r="O341">
        <v>175000</v>
      </c>
      <c r="P341">
        <v>23153.42</v>
      </c>
      <c r="Q341" t="s">
        <v>86</v>
      </c>
      <c r="R341" t="s">
        <v>38</v>
      </c>
      <c r="S341" t="s">
        <v>47</v>
      </c>
      <c r="T341" t="s">
        <v>32</v>
      </c>
    </row>
    <row r="342" spans="1:20" x14ac:dyDescent="0.25">
      <c r="A342" t="s">
        <v>20</v>
      </c>
      <c r="B342" t="s">
        <v>777</v>
      </c>
      <c r="C342" s="1">
        <v>46194</v>
      </c>
      <c r="D342" t="s">
        <v>778</v>
      </c>
      <c r="E342" t="s">
        <v>43</v>
      </c>
      <c r="F342" t="s">
        <v>55</v>
      </c>
      <c r="G342">
        <v>22</v>
      </c>
      <c r="H342" t="s">
        <v>25</v>
      </c>
      <c r="I342" t="s">
        <v>26</v>
      </c>
      <c r="J342" t="s">
        <v>111</v>
      </c>
      <c r="K342" t="s">
        <v>101</v>
      </c>
      <c r="L342">
        <v>1</v>
      </c>
      <c r="M342">
        <v>127000</v>
      </c>
      <c r="N342">
        <v>5</v>
      </c>
      <c r="O342">
        <v>120650</v>
      </c>
      <c r="P342">
        <v>20765.09</v>
      </c>
      <c r="Q342" t="s">
        <v>52</v>
      </c>
      <c r="R342" t="s">
        <v>96</v>
      </c>
      <c r="S342" t="s">
        <v>69</v>
      </c>
      <c r="T342" t="s">
        <v>40</v>
      </c>
    </row>
    <row r="343" spans="1:20" x14ac:dyDescent="0.25">
      <c r="A343" t="s">
        <v>20</v>
      </c>
      <c r="B343" t="s">
        <v>779</v>
      </c>
      <c r="C343" s="1">
        <v>46002</v>
      </c>
      <c r="D343" t="s">
        <v>780</v>
      </c>
      <c r="E343" t="s">
        <v>35</v>
      </c>
      <c r="F343" t="s">
        <v>55</v>
      </c>
      <c r="G343">
        <v>25</v>
      </c>
      <c r="H343" t="s">
        <v>197</v>
      </c>
      <c r="I343" t="s">
        <v>26</v>
      </c>
      <c r="J343" t="s">
        <v>57</v>
      </c>
      <c r="K343" t="s">
        <v>58</v>
      </c>
      <c r="L343">
        <v>1</v>
      </c>
      <c r="M343">
        <v>175000</v>
      </c>
      <c r="N343">
        <v>5</v>
      </c>
      <c r="O343">
        <v>166250</v>
      </c>
      <c r="P343">
        <v>26641.74</v>
      </c>
      <c r="Q343" t="s">
        <v>74</v>
      </c>
      <c r="R343" t="s">
        <v>30</v>
      </c>
      <c r="S343" t="s">
        <v>47</v>
      </c>
      <c r="T343" t="s">
        <v>40</v>
      </c>
    </row>
    <row r="344" spans="1:20" x14ac:dyDescent="0.25">
      <c r="A344" t="s">
        <v>20</v>
      </c>
      <c r="B344" t="s">
        <v>781</v>
      </c>
      <c r="C344" s="1">
        <v>46243</v>
      </c>
      <c r="D344" t="s">
        <v>782</v>
      </c>
      <c r="E344" t="s">
        <v>50</v>
      </c>
      <c r="F344" t="s">
        <v>55</v>
      </c>
      <c r="G344">
        <v>32</v>
      </c>
      <c r="H344" t="s">
        <v>73</v>
      </c>
      <c r="I344" t="s">
        <v>26</v>
      </c>
      <c r="J344" t="s">
        <v>45</v>
      </c>
      <c r="K344" t="s">
        <v>28</v>
      </c>
      <c r="L344">
        <v>1</v>
      </c>
      <c r="M344">
        <v>97000</v>
      </c>
      <c r="N344">
        <v>5</v>
      </c>
      <c r="O344">
        <v>92150</v>
      </c>
      <c r="P344">
        <v>11888.49</v>
      </c>
      <c r="Q344" t="s">
        <v>74</v>
      </c>
      <c r="R344" t="s">
        <v>38</v>
      </c>
      <c r="S344" t="s">
        <v>39</v>
      </c>
      <c r="T344" t="s">
        <v>32</v>
      </c>
    </row>
    <row r="345" spans="1:20" x14ac:dyDescent="0.25">
      <c r="A345" t="s">
        <v>20</v>
      </c>
      <c r="B345" t="s">
        <v>783</v>
      </c>
      <c r="C345" s="1">
        <v>46266</v>
      </c>
      <c r="D345" t="s">
        <v>784</v>
      </c>
      <c r="E345" t="s">
        <v>72</v>
      </c>
      <c r="F345" t="s">
        <v>55</v>
      </c>
      <c r="G345">
        <v>21</v>
      </c>
      <c r="H345" t="s">
        <v>95</v>
      </c>
      <c r="I345" t="s">
        <v>26</v>
      </c>
      <c r="J345" t="s">
        <v>27</v>
      </c>
      <c r="K345" t="s">
        <v>101</v>
      </c>
      <c r="L345">
        <v>1</v>
      </c>
      <c r="M345">
        <v>95000</v>
      </c>
      <c r="N345">
        <v>2</v>
      </c>
      <c r="O345">
        <v>93100</v>
      </c>
      <c r="P345">
        <v>15343.58</v>
      </c>
      <c r="Q345" t="s">
        <v>46</v>
      </c>
      <c r="R345" t="s">
        <v>96</v>
      </c>
      <c r="S345" t="s">
        <v>47</v>
      </c>
      <c r="T345" t="s">
        <v>32</v>
      </c>
    </row>
    <row r="346" spans="1:20" x14ac:dyDescent="0.25">
      <c r="A346" t="s">
        <v>20</v>
      </c>
      <c r="B346" t="s">
        <v>785</v>
      </c>
      <c r="C346" s="1">
        <v>45773</v>
      </c>
      <c r="D346" t="s">
        <v>786</v>
      </c>
      <c r="E346" t="s">
        <v>50</v>
      </c>
      <c r="F346" t="s">
        <v>55</v>
      </c>
      <c r="G346">
        <v>23</v>
      </c>
      <c r="H346" t="s">
        <v>44</v>
      </c>
      <c r="I346" t="s">
        <v>26</v>
      </c>
      <c r="J346" t="s">
        <v>111</v>
      </c>
      <c r="K346" t="s">
        <v>101</v>
      </c>
      <c r="L346">
        <v>1</v>
      </c>
      <c r="M346">
        <v>124000</v>
      </c>
      <c r="N346">
        <v>10</v>
      </c>
      <c r="O346">
        <v>111600</v>
      </c>
      <c r="P346">
        <v>2190.87</v>
      </c>
      <c r="Q346" t="s">
        <v>105</v>
      </c>
      <c r="R346" t="s">
        <v>60</v>
      </c>
      <c r="S346" t="s">
        <v>61</v>
      </c>
      <c r="T346" t="s">
        <v>32</v>
      </c>
    </row>
    <row r="347" spans="1:20" x14ac:dyDescent="0.25">
      <c r="A347" t="s">
        <v>20</v>
      </c>
      <c r="B347" t="s">
        <v>787</v>
      </c>
      <c r="C347" s="1">
        <v>45874</v>
      </c>
      <c r="D347" t="s">
        <v>788</v>
      </c>
      <c r="E347" t="s">
        <v>72</v>
      </c>
      <c r="F347" t="s">
        <v>24</v>
      </c>
      <c r="G347">
        <v>33</v>
      </c>
      <c r="H347" t="s">
        <v>85</v>
      </c>
      <c r="I347" t="s">
        <v>26</v>
      </c>
      <c r="J347" t="s">
        <v>104</v>
      </c>
      <c r="K347" t="s">
        <v>68</v>
      </c>
      <c r="L347">
        <v>1</v>
      </c>
      <c r="M347">
        <v>170000</v>
      </c>
      <c r="N347">
        <v>2</v>
      </c>
      <c r="O347">
        <v>166600</v>
      </c>
      <c r="P347">
        <v>18903.740000000002</v>
      </c>
      <c r="Q347" t="s">
        <v>105</v>
      </c>
      <c r="R347" t="s">
        <v>38</v>
      </c>
      <c r="S347" t="s">
        <v>87</v>
      </c>
      <c r="T347" t="s">
        <v>32</v>
      </c>
    </row>
    <row r="348" spans="1:20" x14ac:dyDescent="0.25">
      <c r="A348" t="s">
        <v>20</v>
      </c>
      <c r="B348" t="s">
        <v>789</v>
      </c>
      <c r="C348" s="1">
        <v>45712</v>
      </c>
      <c r="D348" t="s">
        <v>790</v>
      </c>
      <c r="E348" t="s">
        <v>80</v>
      </c>
      <c r="F348" t="s">
        <v>55</v>
      </c>
      <c r="G348">
        <v>49</v>
      </c>
      <c r="H348" t="s">
        <v>73</v>
      </c>
      <c r="I348" t="s">
        <v>26</v>
      </c>
      <c r="J348" t="s">
        <v>104</v>
      </c>
      <c r="K348" t="s">
        <v>58</v>
      </c>
      <c r="L348">
        <v>1</v>
      </c>
      <c r="M348">
        <v>169000</v>
      </c>
      <c r="N348">
        <v>10</v>
      </c>
      <c r="O348">
        <v>152100</v>
      </c>
      <c r="P348">
        <v>7747.67</v>
      </c>
      <c r="Q348" t="s">
        <v>74</v>
      </c>
      <c r="R348" t="s">
        <v>60</v>
      </c>
      <c r="S348" t="s">
        <v>69</v>
      </c>
      <c r="T348" t="s">
        <v>32</v>
      </c>
    </row>
    <row r="349" spans="1:20" x14ac:dyDescent="0.25">
      <c r="A349" t="s">
        <v>20</v>
      </c>
      <c r="B349" t="s">
        <v>791</v>
      </c>
      <c r="C349" s="1">
        <v>45759</v>
      </c>
      <c r="D349" t="s">
        <v>792</v>
      </c>
      <c r="E349" t="s">
        <v>35</v>
      </c>
      <c r="F349" t="s">
        <v>55</v>
      </c>
      <c r="G349">
        <v>40</v>
      </c>
      <c r="H349" t="s">
        <v>95</v>
      </c>
      <c r="I349" t="s">
        <v>26</v>
      </c>
      <c r="J349" t="s">
        <v>104</v>
      </c>
      <c r="K349" t="s">
        <v>68</v>
      </c>
      <c r="L349">
        <v>1</v>
      </c>
      <c r="M349">
        <v>170000</v>
      </c>
      <c r="N349">
        <v>7</v>
      </c>
      <c r="O349">
        <v>158100</v>
      </c>
      <c r="P349">
        <v>5577.12</v>
      </c>
      <c r="Q349" t="s">
        <v>52</v>
      </c>
      <c r="R349" t="s">
        <v>38</v>
      </c>
      <c r="S349" t="s">
        <v>87</v>
      </c>
      <c r="T349" t="s">
        <v>32</v>
      </c>
    </row>
    <row r="350" spans="1:20" x14ac:dyDescent="0.25">
      <c r="A350" t="s">
        <v>20</v>
      </c>
      <c r="B350" t="s">
        <v>793</v>
      </c>
      <c r="C350" s="1">
        <v>45818</v>
      </c>
      <c r="D350" t="s">
        <v>794</v>
      </c>
      <c r="E350" t="s">
        <v>43</v>
      </c>
      <c r="F350" t="s">
        <v>24</v>
      </c>
      <c r="G350">
        <v>21</v>
      </c>
      <c r="H350" t="s">
        <v>44</v>
      </c>
      <c r="I350" t="s">
        <v>26</v>
      </c>
      <c r="J350" t="s">
        <v>118</v>
      </c>
      <c r="K350" t="s">
        <v>101</v>
      </c>
      <c r="L350">
        <v>2</v>
      </c>
      <c r="M350">
        <v>85000</v>
      </c>
      <c r="N350">
        <v>3</v>
      </c>
      <c r="O350">
        <v>164900</v>
      </c>
      <c r="P350">
        <v>22305.37</v>
      </c>
      <c r="Q350" t="s">
        <v>74</v>
      </c>
      <c r="R350" t="s">
        <v>96</v>
      </c>
      <c r="S350" t="s">
        <v>87</v>
      </c>
      <c r="T350" t="s">
        <v>40</v>
      </c>
    </row>
    <row r="351" spans="1:20" x14ac:dyDescent="0.25">
      <c r="A351" t="s">
        <v>20</v>
      </c>
      <c r="B351" t="s">
        <v>795</v>
      </c>
      <c r="C351" s="1">
        <v>45888</v>
      </c>
      <c r="D351" t="s">
        <v>796</v>
      </c>
      <c r="E351" t="s">
        <v>43</v>
      </c>
      <c r="F351" t="s">
        <v>24</v>
      </c>
      <c r="G351">
        <v>29</v>
      </c>
      <c r="H351" t="s">
        <v>51</v>
      </c>
      <c r="I351" t="s">
        <v>26</v>
      </c>
      <c r="J351" t="s">
        <v>118</v>
      </c>
      <c r="K351" t="s">
        <v>68</v>
      </c>
      <c r="L351">
        <v>2</v>
      </c>
      <c r="M351">
        <v>83000</v>
      </c>
      <c r="N351">
        <v>7</v>
      </c>
      <c r="O351">
        <v>154380</v>
      </c>
      <c r="P351">
        <v>5993.6</v>
      </c>
      <c r="Q351" t="s">
        <v>82</v>
      </c>
      <c r="R351" t="s">
        <v>38</v>
      </c>
      <c r="S351" t="s">
        <v>87</v>
      </c>
      <c r="T351" t="s">
        <v>32</v>
      </c>
    </row>
    <row r="352" spans="1:20" x14ac:dyDescent="0.25">
      <c r="A352" t="s">
        <v>20</v>
      </c>
      <c r="B352" t="s">
        <v>797</v>
      </c>
      <c r="C352" s="1">
        <v>45995</v>
      </c>
      <c r="D352" t="s">
        <v>798</v>
      </c>
      <c r="E352" t="s">
        <v>129</v>
      </c>
      <c r="F352" t="s">
        <v>55</v>
      </c>
      <c r="G352">
        <v>48</v>
      </c>
      <c r="H352" t="s">
        <v>44</v>
      </c>
      <c r="I352" t="s">
        <v>26</v>
      </c>
      <c r="J352" t="s">
        <v>77</v>
      </c>
      <c r="K352" t="s">
        <v>68</v>
      </c>
      <c r="L352">
        <v>1</v>
      </c>
      <c r="M352">
        <v>195000</v>
      </c>
      <c r="N352">
        <v>3</v>
      </c>
      <c r="O352">
        <v>189150</v>
      </c>
      <c r="P352">
        <v>15762.19</v>
      </c>
      <c r="Q352" t="s">
        <v>52</v>
      </c>
      <c r="R352" t="s">
        <v>96</v>
      </c>
      <c r="S352" t="s">
        <v>39</v>
      </c>
      <c r="T352" t="s">
        <v>32</v>
      </c>
    </row>
    <row r="353" spans="1:20" x14ac:dyDescent="0.25">
      <c r="A353" t="s">
        <v>20</v>
      </c>
      <c r="B353" t="s">
        <v>799</v>
      </c>
      <c r="C353" s="1">
        <v>46228</v>
      </c>
      <c r="D353" t="s">
        <v>800</v>
      </c>
      <c r="E353" t="s">
        <v>23</v>
      </c>
      <c r="F353" t="s">
        <v>55</v>
      </c>
      <c r="G353">
        <v>54</v>
      </c>
      <c r="H353" t="s">
        <v>73</v>
      </c>
      <c r="I353" t="s">
        <v>26</v>
      </c>
      <c r="J353" t="s">
        <v>77</v>
      </c>
      <c r="K353" t="s">
        <v>101</v>
      </c>
      <c r="L353">
        <v>1</v>
      </c>
      <c r="M353">
        <v>196000</v>
      </c>
      <c r="N353">
        <v>2</v>
      </c>
      <c r="O353">
        <v>192080</v>
      </c>
      <c r="P353">
        <v>31732.49</v>
      </c>
      <c r="Q353" t="s">
        <v>37</v>
      </c>
      <c r="R353" t="s">
        <v>30</v>
      </c>
      <c r="S353" t="s">
        <v>39</v>
      </c>
      <c r="T353" t="s">
        <v>40</v>
      </c>
    </row>
    <row r="354" spans="1:20" x14ac:dyDescent="0.25">
      <c r="A354" t="s">
        <v>20</v>
      </c>
      <c r="B354" t="s">
        <v>801</v>
      </c>
      <c r="C354" s="1">
        <v>45850</v>
      </c>
      <c r="D354" t="s">
        <v>802</v>
      </c>
      <c r="E354" t="s">
        <v>129</v>
      </c>
      <c r="F354" t="s">
        <v>55</v>
      </c>
      <c r="G354">
        <v>26</v>
      </c>
      <c r="H354" t="s">
        <v>51</v>
      </c>
      <c r="I354" t="s">
        <v>26</v>
      </c>
      <c r="J354" t="s">
        <v>77</v>
      </c>
      <c r="K354" t="s">
        <v>28</v>
      </c>
      <c r="L354">
        <v>1</v>
      </c>
      <c r="M354">
        <v>197000</v>
      </c>
      <c r="N354">
        <v>10</v>
      </c>
      <c r="O354">
        <v>177300</v>
      </c>
      <c r="P354">
        <v>17167.46</v>
      </c>
      <c r="Q354" t="s">
        <v>74</v>
      </c>
      <c r="R354" t="s">
        <v>96</v>
      </c>
      <c r="S354" t="s">
        <v>87</v>
      </c>
      <c r="T354" t="s">
        <v>32</v>
      </c>
    </row>
    <row r="355" spans="1:20" x14ac:dyDescent="0.25">
      <c r="A355" t="s">
        <v>20</v>
      </c>
      <c r="B355" t="s">
        <v>803</v>
      </c>
      <c r="C355" s="1">
        <v>46277</v>
      </c>
      <c r="D355" t="s">
        <v>804</v>
      </c>
      <c r="E355" t="s">
        <v>43</v>
      </c>
      <c r="F355" t="s">
        <v>55</v>
      </c>
      <c r="G355">
        <v>50</v>
      </c>
      <c r="H355" t="s">
        <v>25</v>
      </c>
      <c r="I355" t="s">
        <v>26</v>
      </c>
      <c r="J355" t="s">
        <v>111</v>
      </c>
      <c r="K355" t="s">
        <v>58</v>
      </c>
      <c r="L355">
        <v>1</v>
      </c>
      <c r="M355">
        <v>127000</v>
      </c>
      <c r="N355">
        <v>5</v>
      </c>
      <c r="O355">
        <v>120650</v>
      </c>
      <c r="P355">
        <v>19546.52</v>
      </c>
      <c r="Q355" t="s">
        <v>46</v>
      </c>
      <c r="R355" t="s">
        <v>38</v>
      </c>
      <c r="S355" t="s">
        <v>31</v>
      </c>
      <c r="T355" t="s">
        <v>32</v>
      </c>
    </row>
    <row r="356" spans="1:20" x14ac:dyDescent="0.25">
      <c r="A356" t="s">
        <v>20</v>
      </c>
      <c r="B356" t="s">
        <v>805</v>
      </c>
      <c r="C356" s="1">
        <v>45885</v>
      </c>
      <c r="D356" t="s">
        <v>806</v>
      </c>
      <c r="E356" t="s">
        <v>50</v>
      </c>
      <c r="F356" t="s">
        <v>55</v>
      </c>
      <c r="G356">
        <v>32</v>
      </c>
      <c r="H356" t="s">
        <v>44</v>
      </c>
      <c r="I356" t="s">
        <v>26</v>
      </c>
      <c r="J356" t="s">
        <v>111</v>
      </c>
      <c r="K356" t="s">
        <v>68</v>
      </c>
      <c r="L356">
        <v>1</v>
      </c>
      <c r="M356">
        <v>123000</v>
      </c>
      <c r="N356">
        <v>3</v>
      </c>
      <c r="O356">
        <v>119310</v>
      </c>
      <c r="P356">
        <v>9345.08</v>
      </c>
      <c r="Q356" t="s">
        <v>46</v>
      </c>
      <c r="R356" t="s">
        <v>38</v>
      </c>
      <c r="S356" t="s">
        <v>61</v>
      </c>
      <c r="T356" t="s">
        <v>40</v>
      </c>
    </row>
    <row r="357" spans="1:20" x14ac:dyDescent="0.25">
      <c r="A357" t="s">
        <v>20</v>
      </c>
      <c r="B357" t="s">
        <v>807</v>
      </c>
      <c r="C357" s="1">
        <v>46047</v>
      </c>
      <c r="D357" t="s">
        <v>808</v>
      </c>
      <c r="E357" t="s">
        <v>94</v>
      </c>
      <c r="F357" t="s">
        <v>55</v>
      </c>
      <c r="G357">
        <v>40</v>
      </c>
      <c r="H357" t="s">
        <v>44</v>
      </c>
      <c r="I357" t="s">
        <v>26</v>
      </c>
      <c r="J357" t="s">
        <v>57</v>
      </c>
      <c r="K357" t="s">
        <v>28</v>
      </c>
      <c r="L357">
        <v>1</v>
      </c>
      <c r="M357">
        <v>173000</v>
      </c>
      <c r="N357">
        <v>7</v>
      </c>
      <c r="O357">
        <v>160890</v>
      </c>
      <c r="P357">
        <v>10684.51</v>
      </c>
      <c r="Q357" t="s">
        <v>46</v>
      </c>
      <c r="R357" t="s">
        <v>38</v>
      </c>
      <c r="S357" t="s">
        <v>69</v>
      </c>
      <c r="T357" t="s">
        <v>32</v>
      </c>
    </row>
    <row r="358" spans="1:20" x14ac:dyDescent="0.25">
      <c r="A358" t="s">
        <v>20</v>
      </c>
      <c r="B358" t="s">
        <v>809</v>
      </c>
      <c r="C358" s="1">
        <v>45708</v>
      </c>
      <c r="D358" t="s">
        <v>810</v>
      </c>
      <c r="E358" t="s">
        <v>72</v>
      </c>
      <c r="F358" t="s">
        <v>24</v>
      </c>
      <c r="G358">
        <v>32</v>
      </c>
      <c r="H358" t="s">
        <v>95</v>
      </c>
      <c r="I358" t="s">
        <v>26</v>
      </c>
      <c r="J358" t="s">
        <v>36</v>
      </c>
      <c r="K358" t="s">
        <v>58</v>
      </c>
      <c r="L358">
        <v>3</v>
      </c>
      <c r="M358">
        <v>113000</v>
      </c>
      <c r="N358">
        <v>7</v>
      </c>
      <c r="O358">
        <v>315270</v>
      </c>
      <c r="P358">
        <v>35090.660000000003</v>
      </c>
      <c r="Q358" t="s">
        <v>74</v>
      </c>
      <c r="R358" t="s">
        <v>60</v>
      </c>
      <c r="S358" t="s">
        <v>47</v>
      </c>
      <c r="T358" t="s">
        <v>32</v>
      </c>
    </row>
    <row r="359" spans="1:20" x14ac:dyDescent="0.25">
      <c r="A359" t="s">
        <v>20</v>
      </c>
      <c r="B359" t="s">
        <v>811</v>
      </c>
      <c r="C359" s="1">
        <v>45803</v>
      </c>
      <c r="D359" t="s">
        <v>812</v>
      </c>
      <c r="E359" t="s">
        <v>35</v>
      </c>
      <c r="F359" t="s">
        <v>55</v>
      </c>
      <c r="G359">
        <v>75</v>
      </c>
      <c r="H359" t="s">
        <v>51</v>
      </c>
      <c r="I359" t="s">
        <v>26</v>
      </c>
      <c r="J359" t="s">
        <v>77</v>
      </c>
      <c r="K359" t="s">
        <v>28</v>
      </c>
      <c r="L359">
        <v>1</v>
      </c>
      <c r="M359">
        <v>193000</v>
      </c>
      <c r="N359">
        <v>10</v>
      </c>
      <c r="O359">
        <v>173700</v>
      </c>
      <c r="P359">
        <v>11186.98</v>
      </c>
      <c r="Q359" t="s">
        <v>37</v>
      </c>
      <c r="R359" t="s">
        <v>96</v>
      </c>
      <c r="S359" t="s">
        <v>47</v>
      </c>
      <c r="T359" t="s">
        <v>40</v>
      </c>
    </row>
    <row r="360" spans="1:20" x14ac:dyDescent="0.25">
      <c r="A360" t="s">
        <v>20</v>
      </c>
      <c r="B360" t="s">
        <v>813</v>
      </c>
      <c r="C360" s="1">
        <v>45864</v>
      </c>
      <c r="D360" t="s">
        <v>814</v>
      </c>
      <c r="E360" t="s">
        <v>23</v>
      </c>
      <c r="F360" t="s">
        <v>24</v>
      </c>
      <c r="G360">
        <v>49</v>
      </c>
      <c r="H360" t="s">
        <v>85</v>
      </c>
      <c r="I360" t="s">
        <v>26</v>
      </c>
      <c r="J360" t="s">
        <v>64</v>
      </c>
      <c r="K360" t="s">
        <v>101</v>
      </c>
      <c r="L360">
        <v>1</v>
      </c>
      <c r="M360">
        <v>125000</v>
      </c>
      <c r="N360">
        <v>7</v>
      </c>
      <c r="O360">
        <v>116250</v>
      </c>
      <c r="P360">
        <v>5300.74</v>
      </c>
      <c r="Q360" t="s">
        <v>37</v>
      </c>
      <c r="R360" t="s">
        <v>30</v>
      </c>
      <c r="S360" t="s">
        <v>69</v>
      </c>
      <c r="T360" t="s">
        <v>32</v>
      </c>
    </row>
    <row r="361" spans="1:20" x14ac:dyDescent="0.25">
      <c r="A361" t="s">
        <v>20</v>
      </c>
      <c r="B361" t="s">
        <v>815</v>
      </c>
      <c r="C361" s="1">
        <v>46181</v>
      </c>
      <c r="D361" t="s">
        <v>816</v>
      </c>
      <c r="E361" t="s">
        <v>94</v>
      </c>
      <c r="F361" t="s">
        <v>24</v>
      </c>
      <c r="G361">
        <v>30</v>
      </c>
      <c r="H361" t="s">
        <v>56</v>
      </c>
      <c r="I361" t="s">
        <v>26</v>
      </c>
      <c r="J361" t="s">
        <v>57</v>
      </c>
      <c r="K361" t="s">
        <v>28</v>
      </c>
      <c r="L361">
        <v>1</v>
      </c>
      <c r="M361">
        <v>177000</v>
      </c>
      <c r="N361">
        <v>5</v>
      </c>
      <c r="O361">
        <v>168150</v>
      </c>
      <c r="P361">
        <v>14651.2</v>
      </c>
      <c r="Q361" t="s">
        <v>37</v>
      </c>
      <c r="R361" t="s">
        <v>60</v>
      </c>
      <c r="S361" t="s">
        <v>87</v>
      </c>
      <c r="T361" t="s">
        <v>32</v>
      </c>
    </row>
    <row r="362" spans="1:20" x14ac:dyDescent="0.25">
      <c r="A362" t="s">
        <v>20</v>
      </c>
      <c r="B362" t="s">
        <v>817</v>
      </c>
      <c r="C362" s="1">
        <v>45974</v>
      </c>
      <c r="D362" t="s">
        <v>818</v>
      </c>
      <c r="E362" t="s">
        <v>72</v>
      </c>
      <c r="F362" t="s">
        <v>55</v>
      </c>
      <c r="G362">
        <v>48</v>
      </c>
      <c r="H362" t="s">
        <v>73</v>
      </c>
      <c r="I362" t="s">
        <v>26</v>
      </c>
      <c r="J362" t="s">
        <v>45</v>
      </c>
      <c r="K362" t="s">
        <v>28</v>
      </c>
      <c r="L362">
        <v>1</v>
      </c>
      <c r="M362">
        <v>100000</v>
      </c>
      <c r="N362">
        <v>0</v>
      </c>
      <c r="O362">
        <v>100000</v>
      </c>
      <c r="P362">
        <v>16965.02</v>
      </c>
      <c r="Q362" t="s">
        <v>37</v>
      </c>
      <c r="R362" t="s">
        <v>96</v>
      </c>
      <c r="S362" t="s">
        <v>69</v>
      </c>
      <c r="T362" t="s">
        <v>40</v>
      </c>
    </row>
    <row r="363" spans="1:20" x14ac:dyDescent="0.25">
      <c r="A363" t="s">
        <v>20</v>
      </c>
      <c r="B363" t="s">
        <v>819</v>
      </c>
      <c r="C363" s="1">
        <v>46163</v>
      </c>
      <c r="D363" t="s">
        <v>820</v>
      </c>
      <c r="E363" t="s">
        <v>50</v>
      </c>
      <c r="F363" t="s">
        <v>24</v>
      </c>
      <c r="G363">
        <v>35</v>
      </c>
      <c r="H363" t="s">
        <v>85</v>
      </c>
      <c r="I363" t="s">
        <v>26</v>
      </c>
      <c r="J363" t="s">
        <v>118</v>
      </c>
      <c r="K363" t="s">
        <v>58</v>
      </c>
      <c r="L363">
        <v>1</v>
      </c>
      <c r="M363">
        <v>85000</v>
      </c>
      <c r="N363">
        <v>7</v>
      </c>
      <c r="O363">
        <v>79050</v>
      </c>
      <c r="P363">
        <v>4513.96</v>
      </c>
      <c r="Q363" t="s">
        <v>59</v>
      </c>
      <c r="R363" t="s">
        <v>38</v>
      </c>
      <c r="S363" t="s">
        <v>69</v>
      </c>
      <c r="T363" t="s">
        <v>32</v>
      </c>
    </row>
    <row r="364" spans="1:20" x14ac:dyDescent="0.25">
      <c r="A364" t="s">
        <v>20</v>
      </c>
      <c r="B364" t="s">
        <v>821</v>
      </c>
      <c r="C364" s="1">
        <v>45809</v>
      </c>
      <c r="D364" t="s">
        <v>822</v>
      </c>
      <c r="E364" t="s">
        <v>823</v>
      </c>
      <c r="F364" t="s">
        <v>55</v>
      </c>
      <c r="G364">
        <v>23</v>
      </c>
      <c r="H364" t="s">
        <v>51</v>
      </c>
      <c r="I364" t="s">
        <v>26</v>
      </c>
      <c r="J364" t="s">
        <v>111</v>
      </c>
      <c r="K364" t="s">
        <v>68</v>
      </c>
      <c r="L364">
        <v>1</v>
      </c>
      <c r="M364">
        <v>126000</v>
      </c>
      <c r="N364">
        <v>2</v>
      </c>
      <c r="O364">
        <v>123480</v>
      </c>
      <c r="P364">
        <v>24460.35</v>
      </c>
      <c r="Q364" t="s">
        <v>105</v>
      </c>
      <c r="R364" t="s">
        <v>60</v>
      </c>
      <c r="S364" t="s">
        <v>39</v>
      </c>
      <c r="T364" t="s">
        <v>32</v>
      </c>
    </row>
    <row r="365" spans="1:20" x14ac:dyDescent="0.25">
      <c r="A365" t="s">
        <v>20</v>
      </c>
      <c r="B365" t="s">
        <v>824</v>
      </c>
      <c r="C365" s="1">
        <v>46267</v>
      </c>
      <c r="D365" t="s">
        <v>825</v>
      </c>
      <c r="E365" t="s">
        <v>129</v>
      </c>
      <c r="F365" t="s">
        <v>24</v>
      </c>
      <c r="G365">
        <v>55</v>
      </c>
      <c r="H365" t="s">
        <v>108</v>
      </c>
      <c r="I365" t="s">
        <v>26</v>
      </c>
      <c r="J365" t="s">
        <v>118</v>
      </c>
      <c r="K365" t="s">
        <v>101</v>
      </c>
      <c r="L365">
        <v>0</v>
      </c>
      <c r="M365">
        <v>84000</v>
      </c>
      <c r="N365">
        <v>2</v>
      </c>
      <c r="O365">
        <v>82320</v>
      </c>
      <c r="P365">
        <v>10025.33</v>
      </c>
      <c r="Q365" t="s">
        <v>105</v>
      </c>
      <c r="R365" t="s">
        <v>30</v>
      </c>
      <c r="S365" t="s">
        <v>39</v>
      </c>
      <c r="T365" t="s">
        <v>40</v>
      </c>
    </row>
    <row r="366" spans="1:20" x14ac:dyDescent="0.25">
      <c r="A366" t="s">
        <v>20</v>
      </c>
      <c r="B366" t="s">
        <v>826</v>
      </c>
      <c r="C366" s="1">
        <v>46140</v>
      </c>
      <c r="D366" t="s">
        <v>827</v>
      </c>
      <c r="E366" t="s">
        <v>23</v>
      </c>
      <c r="F366" t="s">
        <v>24</v>
      </c>
      <c r="G366">
        <v>28</v>
      </c>
      <c r="H366" t="s">
        <v>95</v>
      </c>
      <c r="I366" t="s">
        <v>26</v>
      </c>
      <c r="J366" t="s">
        <v>64</v>
      </c>
      <c r="K366" t="s">
        <v>101</v>
      </c>
      <c r="L366">
        <v>1</v>
      </c>
      <c r="M366">
        <v>125000</v>
      </c>
      <c r="N366">
        <v>7</v>
      </c>
      <c r="O366">
        <v>116250</v>
      </c>
      <c r="P366">
        <v>17776.11</v>
      </c>
      <c r="Q366" t="s">
        <v>59</v>
      </c>
      <c r="R366" t="s">
        <v>96</v>
      </c>
      <c r="S366" t="s">
        <v>61</v>
      </c>
      <c r="T366" t="s">
        <v>32</v>
      </c>
    </row>
    <row r="367" spans="1:20" x14ac:dyDescent="0.25">
      <c r="A367" t="s">
        <v>20</v>
      </c>
      <c r="B367" t="s">
        <v>828</v>
      </c>
      <c r="C367" s="1">
        <v>45747</v>
      </c>
      <c r="D367" t="s">
        <v>829</v>
      </c>
      <c r="E367" t="s">
        <v>72</v>
      </c>
      <c r="F367" t="s">
        <v>24</v>
      </c>
      <c r="G367">
        <v>50</v>
      </c>
      <c r="H367" t="s">
        <v>25</v>
      </c>
      <c r="I367" t="s">
        <v>26</v>
      </c>
      <c r="J367" t="s">
        <v>81</v>
      </c>
      <c r="K367" t="s">
        <v>101</v>
      </c>
      <c r="L367">
        <v>1</v>
      </c>
      <c r="M367">
        <v>237000</v>
      </c>
      <c r="N367">
        <v>10</v>
      </c>
      <c r="O367">
        <v>213300</v>
      </c>
      <c r="P367">
        <v>13396.76</v>
      </c>
      <c r="Q367" t="s">
        <v>74</v>
      </c>
      <c r="R367" t="s">
        <v>60</v>
      </c>
      <c r="S367" t="s">
        <v>31</v>
      </c>
      <c r="T367" t="s">
        <v>40</v>
      </c>
    </row>
    <row r="368" spans="1:20" x14ac:dyDescent="0.25">
      <c r="A368" t="s">
        <v>20</v>
      </c>
      <c r="B368" t="s">
        <v>830</v>
      </c>
      <c r="C368" s="1">
        <v>45955</v>
      </c>
      <c r="D368" t="s">
        <v>831</v>
      </c>
      <c r="E368" t="s">
        <v>379</v>
      </c>
      <c r="F368" t="s">
        <v>55</v>
      </c>
      <c r="G368">
        <v>75</v>
      </c>
      <c r="H368" t="s">
        <v>85</v>
      </c>
      <c r="I368" t="s">
        <v>26</v>
      </c>
      <c r="J368" t="s">
        <v>36</v>
      </c>
      <c r="K368" t="s">
        <v>28</v>
      </c>
      <c r="L368">
        <v>1</v>
      </c>
      <c r="M368">
        <v>114000</v>
      </c>
      <c r="N368">
        <v>7</v>
      </c>
      <c r="O368">
        <v>106020</v>
      </c>
      <c r="P368">
        <v>13916.37</v>
      </c>
      <c r="Q368" t="s">
        <v>46</v>
      </c>
      <c r="R368" t="s">
        <v>30</v>
      </c>
      <c r="S368" t="s">
        <v>61</v>
      </c>
      <c r="T368" t="s">
        <v>32</v>
      </c>
    </row>
    <row r="369" spans="1:20" x14ac:dyDescent="0.25">
      <c r="A369" t="s">
        <v>20</v>
      </c>
      <c r="B369" t="s">
        <v>832</v>
      </c>
      <c r="C369" s="1">
        <v>45875</v>
      </c>
      <c r="D369" t="s">
        <v>833</v>
      </c>
      <c r="E369" t="s">
        <v>50</v>
      </c>
      <c r="F369" t="s">
        <v>24</v>
      </c>
      <c r="G369">
        <v>20</v>
      </c>
      <c r="H369" t="s">
        <v>95</v>
      </c>
      <c r="I369" t="s">
        <v>26</v>
      </c>
      <c r="J369" t="s">
        <v>81</v>
      </c>
      <c r="K369" t="s">
        <v>101</v>
      </c>
      <c r="L369">
        <v>1</v>
      </c>
      <c r="M369">
        <v>235000</v>
      </c>
      <c r="N369">
        <v>3</v>
      </c>
      <c r="O369">
        <v>227950</v>
      </c>
      <c r="P369">
        <v>28846.28</v>
      </c>
      <c r="Q369" t="s">
        <v>82</v>
      </c>
      <c r="R369" t="s">
        <v>60</v>
      </c>
      <c r="S369" t="s">
        <v>39</v>
      </c>
      <c r="T369" t="s">
        <v>40</v>
      </c>
    </row>
    <row r="370" spans="1:20" x14ac:dyDescent="0.25">
      <c r="A370" t="s">
        <v>20</v>
      </c>
      <c r="B370" t="s">
        <v>834</v>
      </c>
      <c r="C370" s="1">
        <v>45687</v>
      </c>
      <c r="D370" t="s">
        <v>835</v>
      </c>
      <c r="E370" t="s">
        <v>50</v>
      </c>
      <c r="F370" t="s">
        <v>24</v>
      </c>
      <c r="G370">
        <v>31</v>
      </c>
      <c r="H370" t="s">
        <v>108</v>
      </c>
      <c r="I370" t="s">
        <v>26</v>
      </c>
      <c r="J370" t="s">
        <v>118</v>
      </c>
      <c r="K370" t="s">
        <v>101</v>
      </c>
      <c r="L370">
        <v>1</v>
      </c>
      <c r="M370">
        <v>85000</v>
      </c>
      <c r="N370">
        <v>5</v>
      </c>
      <c r="O370">
        <v>80750</v>
      </c>
      <c r="P370">
        <v>7061.15</v>
      </c>
      <c r="Q370" t="s">
        <v>46</v>
      </c>
      <c r="R370" t="s">
        <v>38</v>
      </c>
      <c r="S370" t="s">
        <v>69</v>
      </c>
      <c r="T370" t="s">
        <v>32</v>
      </c>
    </row>
    <row r="371" spans="1:20" x14ac:dyDescent="0.25">
      <c r="A371" t="s">
        <v>20</v>
      </c>
      <c r="B371" t="s">
        <v>836</v>
      </c>
      <c r="C371" s="1">
        <v>46081</v>
      </c>
      <c r="D371" t="s">
        <v>837</v>
      </c>
      <c r="E371" t="s">
        <v>72</v>
      </c>
      <c r="F371" t="s">
        <v>24</v>
      </c>
      <c r="G371">
        <v>23</v>
      </c>
      <c r="H371" t="s">
        <v>73</v>
      </c>
      <c r="I371" t="s">
        <v>26</v>
      </c>
      <c r="J371" t="s">
        <v>57</v>
      </c>
      <c r="K371" t="s">
        <v>28</v>
      </c>
      <c r="L371">
        <v>1</v>
      </c>
      <c r="M371">
        <v>176000</v>
      </c>
      <c r="N371">
        <v>3</v>
      </c>
      <c r="O371">
        <v>170720</v>
      </c>
      <c r="P371">
        <v>23672.63</v>
      </c>
      <c r="Q371" t="s">
        <v>52</v>
      </c>
      <c r="R371" t="s">
        <v>60</v>
      </c>
      <c r="S371" t="s">
        <v>39</v>
      </c>
      <c r="T371" t="s">
        <v>32</v>
      </c>
    </row>
    <row r="372" spans="1:20" x14ac:dyDescent="0.25">
      <c r="A372" t="s">
        <v>20</v>
      </c>
      <c r="B372" t="s">
        <v>838</v>
      </c>
      <c r="C372" s="1">
        <v>45827</v>
      </c>
      <c r="D372" t="s">
        <v>839</v>
      </c>
      <c r="E372" t="s">
        <v>129</v>
      </c>
      <c r="F372" t="s">
        <v>55</v>
      </c>
      <c r="G372">
        <v>44</v>
      </c>
      <c r="H372" t="s">
        <v>51</v>
      </c>
      <c r="I372" t="s">
        <v>26</v>
      </c>
      <c r="J372" t="s">
        <v>45</v>
      </c>
      <c r="K372" t="s">
        <v>101</v>
      </c>
      <c r="L372">
        <v>1</v>
      </c>
      <c r="M372">
        <v>98000</v>
      </c>
      <c r="N372">
        <v>5</v>
      </c>
      <c r="O372">
        <v>93100</v>
      </c>
      <c r="P372">
        <v>9292.23</v>
      </c>
      <c r="Q372" t="s">
        <v>86</v>
      </c>
      <c r="R372" t="s">
        <v>30</v>
      </c>
      <c r="S372" t="s">
        <v>39</v>
      </c>
      <c r="T372" t="s">
        <v>40</v>
      </c>
    </row>
    <row r="373" spans="1:20" x14ac:dyDescent="0.25">
      <c r="A373" t="s">
        <v>20</v>
      </c>
      <c r="B373" t="s">
        <v>840</v>
      </c>
      <c r="C373" s="1">
        <v>45967</v>
      </c>
      <c r="D373" t="s">
        <v>841</v>
      </c>
      <c r="E373" t="s">
        <v>72</v>
      </c>
      <c r="F373" t="s">
        <v>55</v>
      </c>
      <c r="G373">
        <v>33</v>
      </c>
      <c r="H373" t="s">
        <v>85</v>
      </c>
      <c r="I373" t="s">
        <v>26</v>
      </c>
      <c r="J373" t="s">
        <v>27</v>
      </c>
      <c r="K373" t="s">
        <v>28</v>
      </c>
      <c r="L373">
        <v>2</v>
      </c>
      <c r="M373">
        <v>95000</v>
      </c>
      <c r="N373">
        <v>5</v>
      </c>
      <c r="O373">
        <v>180500</v>
      </c>
      <c r="P373">
        <v>13388.37</v>
      </c>
      <c r="Q373" t="s">
        <v>86</v>
      </c>
      <c r="R373" t="s">
        <v>30</v>
      </c>
      <c r="S373" t="s">
        <v>31</v>
      </c>
      <c r="T373" t="s">
        <v>32</v>
      </c>
    </row>
    <row r="374" spans="1:20" x14ac:dyDescent="0.25">
      <c r="A374" t="s">
        <v>20</v>
      </c>
      <c r="B374" t="s">
        <v>842</v>
      </c>
      <c r="C374" s="1">
        <v>46153</v>
      </c>
      <c r="D374" t="s">
        <v>843</v>
      </c>
      <c r="E374" t="s">
        <v>72</v>
      </c>
      <c r="F374" t="s">
        <v>24</v>
      </c>
      <c r="G374">
        <v>53</v>
      </c>
      <c r="H374" t="s">
        <v>25</v>
      </c>
      <c r="I374" t="s">
        <v>26</v>
      </c>
      <c r="J374" t="s">
        <v>57</v>
      </c>
      <c r="K374" t="s">
        <v>68</v>
      </c>
      <c r="L374">
        <v>1</v>
      </c>
      <c r="M374">
        <v>176000</v>
      </c>
      <c r="N374">
        <v>2</v>
      </c>
      <c r="O374">
        <v>172480</v>
      </c>
      <c r="P374">
        <v>31182.73</v>
      </c>
      <c r="Q374" t="s">
        <v>82</v>
      </c>
      <c r="R374" t="s">
        <v>96</v>
      </c>
      <c r="S374" t="s">
        <v>31</v>
      </c>
      <c r="T374" t="s">
        <v>32</v>
      </c>
    </row>
    <row r="375" spans="1:20" x14ac:dyDescent="0.25">
      <c r="A375" t="s">
        <v>20</v>
      </c>
      <c r="B375" t="s">
        <v>844</v>
      </c>
      <c r="C375" s="1">
        <v>45703</v>
      </c>
      <c r="D375" t="s">
        <v>845</v>
      </c>
      <c r="E375" t="s">
        <v>43</v>
      </c>
      <c r="F375" t="s">
        <v>24</v>
      </c>
      <c r="G375">
        <v>25</v>
      </c>
      <c r="H375" t="s">
        <v>95</v>
      </c>
      <c r="I375" t="s">
        <v>26</v>
      </c>
      <c r="J375" t="s">
        <v>57</v>
      </c>
      <c r="K375" t="s">
        <v>28</v>
      </c>
      <c r="L375">
        <v>1</v>
      </c>
      <c r="M375">
        <v>176000</v>
      </c>
      <c r="N375">
        <v>0</v>
      </c>
      <c r="O375">
        <v>176000</v>
      </c>
      <c r="P375">
        <v>38633.199999999997</v>
      </c>
      <c r="Q375" t="s">
        <v>82</v>
      </c>
      <c r="R375" t="s">
        <v>60</v>
      </c>
      <c r="S375" t="s">
        <v>69</v>
      </c>
      <c r="T375" t="s">
        <v>40</v>
      </c>
    </row>
    <row r="376" spans="1:20" x14ac:dyDescent="0.25">
      <c r="A376" t="s">
        <v>20</v>
      </c>
      <c r="B376" t="s">
        <v>846</v>
      </c>
      <c r="C376" s="1">
        <v>46109</v>
      </c>
      <c r="D376" t="s">
        <v>847</v>
      </c>
      <c r="E376" t="s">
        <v>72</v>
      </c>
      <c r="F376" t="s">
        <v>55</v>
      </c>
      <c r="G376">
        <v>27</v>
      </c>
      <c r="H376" t="s">
        <v>56</v>
      </c>
      <c r="I376" t="s">
        <v>26</v>
      </c>
      <c r="J376" t="s">
        <v>111</v>
      </c>
      <c r="K376" t="s">
        <v>68</v>
      </c>
      <c r="L376">
        <v>1</v>
      </c>
      <c r="M376">
        <v>125000</v>
      </c>
      <c r="N376">
        <v>3</v>
      </c>
      <c r="O376">
        <v>121250</v>
      </c>
      <c r="P376">
        <v>15765.86</v>
      </c>
      <c r="Q376" t="s">
        <v>74</v>
      </c>
      <c r="R376" t="s">
        <v>30</v>
      </c>
      <c r="S376" t="s">
        <v>69</v>
      </c>
      <c r="T376" t="s">
        <v>32</v>
      </c>
    </row>
    <row r="377" spans="1:20" x14ac:dyDescent="0.25">
      <c r="A377" t="s">
        <v>20</v>
      </c>
      <c r="B377" t="s">
        <v>848</v>
      </c>
      <c r="C377" s="1">
        <v>45948</v>
      </c>
      <c r="D377" t="s">
        <v>849</v>
      </c>
      <c r="E377" t="s">
        <v>129</v>
      </c>
      <c r="F377" t="s">
        <v>55</v>
      </c>
      <c r="G377">
        <v>35</v>
      </c>
      <c r="H377" t="s">
        <v>56</v>
      </c>
      <c r="I377" t="s">
        <v>26</v>
      </c>
      <c r="J377" t="s">
        <v>111</v>
      </c>
      <c r="K377" t="s">
        <v>101</v>
      </c>
      <c r="L377">
        <v>1</v>
      </c>
      <c r="M377">
        <v>125000</v>
      </c>
      <c r="N377">
        <v>2</v>
      </c>
      <c r="O377">
        <v>122500</v>
      </c>
      <c r="P377">
        <v>10850.83</v>
      </c>
      <c r="Q377" t="s">
        <v>86</v>
      </c>
      <c r="R377" t="s">
        <v>38</v>
      </c>
      <c r="S377" t="s">
        <v>69</v>
      </c>
      <c r="T377" t="s">
        <v>32</v>
      </c>
    </row>
    <row r="378" spans="1:20" x14ac:dyDescent="0.25">
      <c r="A378" t="s">
        <v>20</v>
      </c>
      <c r="B378" t="s">
        <v>850</v>
      </c>
      <c r="C378" s="1">
        <v>45746</v>
      </c>
      <c r="D378" t="s">
        <v>851</v>
      </c>
      <c r="E378" t="s">
        <v>94</v>
      </c>
      <c r="F378" t="s">
        <v>55</v>
      </c>
      <c r="G378">
        <v>47</v>
      </c>
      <c r="H378" t="s">
        <v>85</v>
      </c>
      <c r="I378" t="s">
        <v>26</v>
      </c>
      <c r="J378" t="s">
        <v>118</v>
      </c>
      <c r="K378" t="s">
        <v>58</v>
      </c>
      <c r="L378">
        <v>2</v>
      </c>
      <c r="M378">
        <v>83000</v>
      </c>
      <c r="N378">
        <v>0</v>
      </c>
      <c r="O378">
        <v>166000</v>
      </c>
      <c r="P378">
        <v>28878.7</v>
      </c>
      <c r="Q378" t="s">
        <v>86</v>
      </c>
      <c r="R378" t="s">
        <v>60</v>
      </c>
      <c r="S378" t="s">
        <v>39</v>
      </c>
      <c r="T378" t="s">
        <v>32</v>
      </c>
    </row>
    <row r="379" spans="1:20" x14ac:dyDescent="0.25">
      <c r="A379" t="s">
        <v>20</v>
      </c>
      <c r="B379" t="s">
        <v>852</v>
      </c>
      <c r="C379" s="1">
        <v>46137</v>
      </c>
      <c r="D379" t="s">
        <v>853</v>
      </c>
      <c r="E379" t="s">
        <v>35</v>
      </c>
      <c r="F379" t="s">
        <v>24</v>
      </c>
      <c r="G379">
        <v>26</v>
      </c>
      <c r="H379" t="s">
        <v>108</v>
      </c>
      <c r="I379" t="s">
        <v>26</v>
      </c>
      <c r="J379" t="s">
        <v>36</v>
      </c>
      <c r="K379" t="s">
        <v>58</v>
      </c>
      <c r="L379">
        <v>2</v>
      </c>
      <c r="M379">
        <v>115000</v>
      </c>
      <c r="N379">
        <v>7</v>
      </c>
      <c r="O379">
        <v>213900</v>
      </c>
      <c r="P379">
        <v>30862.45</v>
      </c>
      <c r="Q379" t="s">
        <v>46</v>
      </c>
      <c r="R379" t="s">
        <v>96</v>
      </c>
      <c r="S379" t="s">
        <v>31</v>
      </c>
      <c r="T379" t="s">
        <v>32</v>
      </c>
    </row>
    <row r="380" spans="1:20" x14ac:dyDescent="0.25">
      <c r="A380" t="s">
        <v>20</v>
      </c>
      <c r="B380" t="s">
        <v>854</v>
      </c>
      <c r="C380" s="1">
        <v>45996</v>
      </c>
      <c r="D380" t="s">
        <v>855</v>
      </c>
      <c r="E380" t="s">
        <v>35</v>
      </c>
      <c r="F380" t="s">
        <v>24</v>
      </c>
      <c r="G380">
        <v>40</v>
      </c>
      <c r="H380" t="s">
        <v>51</v>
      </c>
      <c r="I380" t="s">
        <v>26</v>
      </c>
      <c r="J380" t="s">
        <v>81</v>
      </c>
      <c r="K380" t="s">
        <v>28</v>
      </c>
      <c r="L380">
        <v>2</v>
      </c>
      <c r="M380">
        <v>235000</v>
      </c>
      <c r="N380">
        <v>2</v>
      </c>
      <c r="O380">
        <v>460600</v>
      </c>
      <c r="P380">
        <v>54541.74</v>
      </c>
      <c r="Q380" t="s">
        <v>82</v>
      </c>
      <c r="R380" t="s">
        <v>38</v>
      </c>
      <c r="S380" t="s">
        <v>69</v>
      </c>
      <c r="T380" t="s">
        <v>40</v>
      </c>
    </row>
    <row r="381" spans="1:20" x14ac:dyDescent="0.25">
      <c r="A381" t="s">
        <v>20</v>
      </c>
      <c r="B381" t="s">
        <v>856</v>
      </c>
      <c r="C381" s="1">
        <v>45788</v>
      </c>
      <c r="D381" t="s">
        <v>857</v>
      </c>
      <c r="E381" t="s">
        <v>23</v>
      </c>
      <c r="F381" t="s">
        <v>24</v>
      </c>
      <c r="G381">
        <v>52</v>
      </c>
      <c r="H381" t="s">
        <v>85</v>
      </c>
      <c r="I381" t="s">
        <v>26</v>
      </c>
      <c r="J381" t="s">
        <v>57</v>
      </c>
      <c r="K381" t="s">
        <v>28</v>
      </c>
      <c r="L381">
        <v>1</v>
      </c>
      <c r="M381">
        <v>175000</v>
      </c>
      <c r="N381">
        <v>3</v>
      </c>
      <c r="O381">
        <v>169750</v>
      </c>
      <c r="P381">
        <v>20556.759999999998</v>
      </c>
      <c r="Q381" t="s">
        <v>86</v>
      </c>
      <c r="R381" t="s">
        <v>30</v>
      </c>
      <c r="S381" t="s">
        <v>39</v>
      </c>
      <c r="T381" t="s">
        <v>40</v>
      </c>
    </row>
    <row r="382" spans="1:20" x14ac:dyDescent="0.25">
      <c r="A382" t="s">
        <v>20</v>
      </c>
      <c r="B382" t="s">
        <v>858</v>
      </c>
      <c r="C382" s="1">
        <v>46151</v>
      </c>
      <c r="D382" t="s">
        <v>859</v>
      </c>
      <c r="E382" t="s">
        <v>23</v>
      </c>
      <c r="F382" t="s">
        <v>24</v>
      </c>
      <c r="G382">
        <v>44</v>
      </c>
      <c r="H382" t="s">
        <v>95</v>
      </c>
      <c r="I382" t="s">
        <v>26</v>
      </c>
      <c r="J382" t="s">
        <v>77</v>
      </c>
      <c r="K382" t="s">
        <v>68</v>
      </c>
      <c r="L382">
        <v>1</v>
      </c>
      <c r="M382">
        <v>194000</v>
      </c>
      <c r="N382">
        <v>7</v>
      </c>
      <c r="O382">
        <v>180420</v>
      </c>
      <c r="P382">
        <v>25398.01</v>
      </c>
      <c r="Q382" t="s">
        <v>59</v>
      </c>
      <c r="R382" t="s">
        <v>38</v>
      </c>
      <c r="S382" t="s">
        <v>87</v>
      </c>
      <c r="T382" t="s">
        <v>40</v>
      </c>
    </row>
    <row r="383" spans="1:20" x14ac:dyDescent="0.25">
      <c r="A383" t="s">
        <v>20</v>
      </c>
      <c r="B383" t="s">
        <v>860</v>
      </c>
      <c r="C383" s="1">
        <v>46245</v>
      </c>
      <c r="D383" t="s">
        <v>861</v>
      </c>
      <c r="E383" t="s">
        <v>23</v>
      </c>
      <c r="F383" t="s">
        <v>24</v>
      </c>
      <c r="G383">
        <v>51</v>
      </c>
      <c r="H383" t="s">
        <v>44</v>
      </c>
      <c r="I383" t="s">
        <v>26</v>
      </c>
      <c r="J383" t="s">
        <v>36</v>
      </c>
      <c r="K383" t="s">
        <v>101</v>
      </c>
      <c r="L383">
        <v>1</v>
      </c>
      <c r="M383">
        <v>117000</v>
      </c>
      <c r="N383">
        <v>0</v>
      </c>
      <c r="O383">
        <v>117000</v>
      </c>
      <c r="P383">
        <v>15359.29</v>
      </c>
      <c r="Q383" t="s">
        <v>82</v>
      </c>
      <c r="R383" t="s">
        <v>38</v>
      </c>
      <c r="S383" t="s">
        <v>31</v>
      </c>
      <c r="T383" t="s">
        <v>40</v>
      </c>
    </row>
    <row r="384" spans="1:20" x14ac:dyDescent="0.25">
      <c r="A384" t="s">
        <v>20</v>
      </c>
      <c r="B384" t="s">
        <v>862</v>
      </c>
      <c r="C384" s="1">
        <v>46046</v>
      </c>
      <c r="D384" t="s">
        <v>863</v>
      </c>
      <c r="E384" t="s">
        <v>137</v>
      </c>
      <c r="F384" t="s">
        <v>55</v>
      </c>
      <c r="G384">
        <v>40</v>
      </c>
      <c r="H384" t="s">
        <v>108</v>
      </c>
      <c r="I384" t="s">
        <v>26</v>
      </c>
      <c r="J384" t="s">
        <v>77</v>
      </c>
      <c r="K384" t="s">
        <v>28</v>
      </c>
      <c r="L384">
        <v>1</v>
      </c>
      <c r="M384">
        <v>197000</v>
      </c>
      <c r="N384">
        <v>7</v>
      </c>
      <c r="O384">
        <v>183210</v>
      </c>
      <c r="P384">
        <v>11315.44</v>
      </c>
      <c r="Q384" t="s">
        <v>52</v>
      </c>
      <c r="R384" t="s">
        <v>96</v>
      </c>
      <c r="S384" t="s">
        <v>87</v>
      </c>
      <c r="T384" t="s">
        <v>32</v>
      </c>
    </row>
    <row r="385" spans="1:20" x14ac:dyDescent="0.25">
      <c r="A385" t="s">
        <v>20</v>
      </c>
      <c r="B385" t="s">
        <v>864</v>
      </c>
      <c r="C385" s="1">
        <v>46115</v>
      </c>
      <c r="D385" t="s">
        <v>865</v>
      </c>
      <c r="E385" t="s">
        <v>50</v>
      </c>
      <c r="F385" t="s">
        <v>24</v>
      </c>
      <c r="G385">
        <v>32</v>
      </c>
      <c r="H385" t="s">
        <v>73</v>
      </c>
      <c r="I385" t="s">
        <v>26</v>
      </c>
      <c r="J385" t="s">
        <v>213</v>
      </c>
      <c r="K385" t="s">
        <v>101</v>
      </c>
      <c r="L385">
        <v>1</v>
      </c>
      <c r="M385">
        <v>98000</v>
      </c>
      <c r="N385">
        <v>5</v>
      </c>
      <c r="O385">
        <v>93100</v>
      </c>
      <c r="P385">
        <v>9420.8700000000008</v>
      </c>
      <c r="Q385" t="s">
        <v>74</v>
      </c>
      <c r="R385" t="s">
        <v>38</v>
      </c>
      <c r="S385" t="s">
        <v>61</v>
      </c>
      <c r="T385" t="s">
        <v>40</v>
      </c>
    </row>
    <row r="386" spans="1:20" x14ac:dyDescent="0.25">
      <c r="A386" t="s">
        <v>20</v>
      </c>
      <c r="B386" t="s">
        <v>866</v>
      </c>
      <c r="C386" s="1">
        <v>45959</v>
      </c>
      <c r="D386" t="s">
        <v>867</v>
      </c>
      <c r="E386" t="s">
        <v>823</v>
      </c>
      <c r="F386" t="s">
        <v>55</v>
      </c>
      <c r="G386">
        <v>23</v>
      </c>
      <c r="H386" t="s">
        <v>25</v>
      </c>
      <c r="I386" t="s">
        <v>26</v>
      </c>
      <c r="J386" t="s">
        <v>27</v>
      </c>
      <c r="K386" t="s">
        <v>28</v>
      </c>
      <c r="L386">
        <v>1</v>
      </c>
      <c r="M386">
        <v>96000</v>
      </c>
      <c r="N386">
        <v>5</v>
      </c>
      <c r="O386">
        <v>91200</v>
      </c>
      <c r="P386">
        <v>6555.22</v>
      </c>
      <c r="Q386" t="s">
        <v>86</v>
      </c>
      <c r="R386" t="s">
        <v>30</v>
      </c>
      <c r="S386" t="s">
        <v>39</v>
      </c>
      <c r="T386" t="s">
        <v>32</v>
      </c>
    </row>
    <row r="387" spans="1:20" x14ac:dyDescent="0.25">
      <c r="A387" t="s">
        <v>20</v>
      </c>
      <c r="B387" t="s">
        <v>868</v>
      </c>
      <c r="C387" s="1">
        <v>46049</v>
      </c>
      <c r="D387" t="s">
        <v>869</v>
      </c>
      <c r="E387" t="s">
        <v>94</v>
      </c>
      <c r="F387" t="s">
        <v>24</v>
      </c>
      <c r="G387">
        <v>45</v>
      </c>
      <c r="H387" t="s">
        <v>95</v>
      </c>
      <c r="I387" t="s">
        <v>26</v>
      </c>
      <c r="J387" t="s">
        <v>111</v>
      </c>
      <c r="K387" t="s">
        <v>68</v>
      </c>
      <c r="L387">
        <v>1</v>
      </c>
      <c r="M387">
        <v>125000</v>
      </c>
      <c r="N387">
        <v>10</v>
      </c>
      <c r="O387">
        <v>112500</v>
      </c>
      <c r="P387">
        <v>10228.09</v>
      </c>
      <c r="Q387" t="s">
        <v>667</v>
      </c>
      <c r="R387" t="s">
        <v>38</v>
      </c>
      <c r="S387" t="s">
        <v>31</v>
      </c>
      <c r="T387" t="s">
        <v>32</v>
      </c>
    </row>
    <row r="388" spans="1:20" x14ac:dyDescent="0.25">
      <c r="A388" t="s">
        <v>20</v>
      </c>
      <c r="B388" t="s">
        <v>870</v>
      </c>
      <c r="C388" s="1">
        <v>45786</v>
      </c>
      <c r="D388" t="s">
        <v>871</v>
      </c>
      <c r="E388" t="s">
        <v>80</v>
      </c>
      <c r="F388" t="s">
        <v>55</v>
      </c>
      <c r="G388">
        <v>28</v>
      </c>
      <c r="H388" t="s">
        <v>95</v>
      </c>
      <c r="I388" t="s">
        <v>26</v>
      </c>
      <c r="J388" t="s">
        <v>36</v>
      </c>
      <c r="K388" t="s">
        <v>28</v>
      </c>
      <c r="L388">
        <v>1</v>
      </c>
      <c r="M388">
        <v>115000</v>
      </c>
      <c r="N388">
        <v>5</v>
      </c>
      <c r="O388">
        <v>109250</v>
      </c>
      <c r="P388">
        <v>17421.11</v>
      </c>
      <c r="Q388" t="s">
        <v>37</v>
      </c>
      <c r="R388" t="s">
        <v>38</v>
      </c>
      <c r="S388" t="s">
        <v>61</v>
      </c>
      <c r="T388" t="s">
        <v>40</v>
      </c>
    </row>
    <row r="389" spans="1:20" x14ac:dyDescent="0.25">
      <c r="A389" t="s">
        <v>20</v>
      </c>
      <c r="B389" t="s">
        <v>872</v>
      </c>
      <c r="C389" s="1">
        <v>46276</v>
      </c>
      <c r="D389" t="s">
        <v>873</v>
      </c>
      <c r="E389" t="s">
        <v>129</v>
      </c>
      <c r="F389" t="s">
        <v>24</v>
      </c>
      <c r="G389">
        <v>47</v>
      </c>
      <c r="H389" t="s">
        <v>108</v>
      </c>
      <c r="I389" t="s">
        <v>26</v>
      </c>
      <c r="J389" t="s">
        <v>45</v>
      </c>
      <c r="K389" t="s">
        <v>58</v>
      </c>
      <c r="L389">
        <v>1</v>
      </c>
      <c r="M389">
        <v>98000</v>
      </c>
      <c r="N389">
        <v>5</v>
      </c>
      <c r="O389">
        <v>93100</v>
      </c>
      <c r="P389">
        <v>6151.47</v>
      </c>
      <c r="Q389" t="s">
        <v>46</v>
      </c>
      <c r="R389" t="s">
        <v>38</v>
      </c>
      <c r="S389" t="s">
        <v>39</v>
      </c>
      <c r="T389" t="s">
        <v>32</v>
      </c>
    </row>
    <row r="390" spans="1:20" x14ac:dyDescent="0.25">
      <c r="A390" t="s">
        <v>20</v>
      </c>
      <c r="B390" t="s">
        <v>874</v>
      </c>
      <c r="C390" s="1">
        <v>45900</v>
      </c>
      <c r="D390" t="s">
        <v>875</v>
      </c>
      <c r="E390" t="s">
        <v>72</v>
      </c>
      <c r="F390" t="s">
        <v>24</v>
      </c>
      <c r="G390">
        <v>52</v>
      </c>
      <c r="H390" t="s">
        <v>95</v>
      </c>
      <c r="I390" t="s">
        <v>26</v>
      </c>
      <c r="J390" t="s">
        <v>45</v>
      </c>
      <c r="K390" t="s">
        <v>101</v>
      </c>
      <c r="L390">
        <v>1</v>
      </c>
      <c r="M390">
        <v>99000</v>
      </c>
      <c r="N390">
        <v>5</v>
      </c>
      <c r="O390">
        <v>94050</v>
      </c>
      <c r="P390">
        <v>6769.97</v>
      </c>
      <c r="Q390" t="s">
        <v>105</v>
      </c>
      <c r="R390" t="s">
        <v>30</v>
      </c>
      <c r="S390" t="s">
        <v>87</v>
      </c>
      <c r="T390" t="s">
        <v>40</v>
      </c>
    </row>
    <row r="391" spans="1:20" x14ac:dyDescent="0.25">
      <c r="A391" t="s">
        <v>20</v>
      </c>
      <c r="B391" t="s">
        <v>876</v>
      </c>
      <c r="C391" s="1">
        <v>46197</v>
      </c>
      <c r="D391" t="s">
        <v>877</v>
      </c>
      <c r="E391" t="s">
        <v>35</v>
      </c>
      <c r="F391" t="s">
        <v>55</v>
      </c>
      <c r="G391">
        <v>37</v>
      </c>
      <c r="H391" t="s">
        <v>108</v>
      </c>
      <c r="I391" t="s">
        <v>26</v>
      </c>
      <c r="J391" t="s">
        <v>64</v>
      </c>
      <c r="K391" t="s">
        <v>28</v>
      </c>
      <c r="L391">
        <v>1</v>
      </c>
      <c r="M391">
        <v>127000</v>
      </c>
      <c r="N391">
        <v>0</v>
      </c>
      <c r="O391">
        <v>127000</v>
      </c>
      <c r="P391">
        <v>25774.59</v>
      </c>
      <c r="Q391" t="s">
        <v>52</v>
      </c>
      <c r="R391" t="s">
        <v>38</v>
      </c>
      <c r="S391" t="s">
        <v>61</v>
      </c>
      <c r="T391" t="s">
        <v>32</v>
      </c>
    </row>
    <row r="392" spans="1:20" x14ac:dyDescent="0.25">
      <c r="A392" t="s">
        <v>20</v>
      </c>
      <c r="B392" t="s">
        <v>878</v>
      </c>
      <c r="C392" s="1">
        <v>46138</v>
      </c>
      <c r="D392" t="s">
        <v>879</v>
      </c>
      <c r="E392" t="s">
        <v>35</v>
      </c>
      <c r="F392" t="s">
        <v>24</v>
      </c>
      <c r="G392">
        <v>49</v>
      </c>
      <c r="H392" t="s">
        <v>51</v>
      </c>
      <c r="I392" t="s">
        <v>26</v>
      </c>
      <c r="J392" t="s">
        <v>36</v>
      </c>
      <c r="K392" t="s">
        <v>58</v>
      </c>
      <c r="L392">
        <v>1</v>
      </c>
      <c r="M392">
        <v>115000</v>
      </c>
      <c r="N392">
        <v>7</v>
      </c>
      <c r="O392">
        <v>106950</v>
      </c>
      <c r="P392">
        <v>6506.33</v>
      </c>
      <c r="Q392" t="s">
        <v>86</v>
      </c>
      <c r="R392" t="s">
        <v>60</v>
      </c>
      <c r="S392" t="s">
        <v>39</v>
      </c>
      <c r="T392" t="s">
        <v>32</v>
      </c>
    </row>
    <row r="393" spans="1:20" x14ac:dyDescent="0.25">
      <c r="A393" t="s">
        <v>20</v>
      </c>
      <c r="B393" t="s">
        <v>880</v>
      </c>
      <c r="C393" s="1">
        <v>46142</v>
      </c>
      <c r="D393" t="s">
        <v>881</v>
      </c>
      <c r="E393" t="s">
        <v>80</v>
      </c>
      <c r="F393" t="s">
        <v>24</v>
      </c>
      <c r="G393">
        <v>30</v>
      </c>
      <c r="H393" t="s">
        <v>51</v>
      </c>
      <c r="I393" t="s">
        <v>26</v>
      </c>
      <c r="J393" t="s">
        <v>118</v>
      </c>
      <c r="K393" t="s">
        <v>28</v>
      </c>
      <c r="L393">
        <v>1</v>
      </c>
      <c r="M393">
        <v>86000</v>
      </c>
      <c r="N393">
        <v>3</v>
      </c>
      <c r="O393">
        <v>83420</v>
      </c>
      <c r="P393">
        <v>15706.17</v>
      </c>
      <c r="Q393" t="s">
        <v>74</v>
      </c>
      <c r="R393" t="s">
        <v>38</v>
      </c>
      <c r="S393" t="s">
        <v>69</v>
      </c>
      <c r="T393" t="s">
        <v>32</v>
      </c>
    </row>
    <row r="394" spans="1:20" x14ac:dyDescent="0.25">
      <c r="A394" t="s">
        <v>20</v>
      </c>
      <c r="B394" t="s">
        <v>882</v>
      </c>
      <c r="C394" s="1">
        <v>45945</v>
      </c>
      <c r="D394" t="s">
        <v>883</v>
      </c>
      <c r="E394" t="s">
        <v>72</v>
      </c>
      <c r="F394" t="s">
        <v>55</v>
      </c>
      <c r="G394">
        <v>37</v>
      </c>
      <c r="H394" t="s">
        <v>108</v>
      </c>
      <c r="I394" t="s">
        <v>26</v>
      </c>
      <c r="J394" t="s">
        <v>36</v>
      </c>
      <c r="K394" t="s">
        <v>28</v>
      </c>
      <c r="L394">
        <v>2</v>
      </c>
      <c r="M394">
        <v>115000</v>
      </c>
      <c r="N394">
        <v>3</v>
      </c>
      <c r="O394">
        <v>223100</v>
      </c>
      <c r="P394">
        <v>40041.93</v>
      </c>
      <c r="Q394" t="s">
        <v>37</v>
      </c>
      <c r="R394" t="s">
        <v>96</v>
      </c>
      <c r="S394" t="s">
        <v>61</v>
      </c>
      <c r="T394" t="s">
        <v>40</v>
      </c>
    </row>
    <row r="395" spans="1:20" x14ac:dyDescent="0.25">
      <c r="A395" t="s">
        <v>20</v>
      </c>
      <c r="B395" t="s">
        <v>884</v>
      </c>
      <c r="C395" s="1">
        <v>46198</v>
      </c>
      <c r="D395" t="s">
        <v>885</v>
      </c>
      <c r="E395" t="s">
        <v>43</v>
      </c>
      <c r="F395" t="s">
        <v>55</v>
      </c>
      <c r="G395">
        <v>22</v>
      </c>
      <c r="H395" t="s">
        <v>73</v>
      </c>
      <c r="I395" t="s">
        <v>26</v>
      </c>
      <c r="J395" t="s">
        <v>158</v>
      </c>
      <c r="K395" t="s">
        <v>68</v>
      </c>
      <c r="L395">
        <v>1</v>
      </c>
      <c r="M395">
        <v>127000</v>
      </c>
      <c r="N395">
        <v>2</v>
      </c>
      <c r="O395">
        <v>124460</v>
      </c>
      <c r="P395">
        <v>18009.84</v>
      </c>
      <c r="Q395" t="s">
        <v>37</v>
      </c>
      <c r="R395" t="s">
        <v>38</v>
      </c>
      <c r="S395" t="s">
        <v>47</v>
      </c>
      <c r="T395" t="s">
        <v>40</v>
      </c>
    </row>
    <row r="396" spans="1:20" x14ac:dyDescent="0.25">
      <c r="A396" t="s">
        <v>20</v>
      </c>
      <c r="B396" t="s">
        <v>886</v>
      </c>
      <c r="C396" s="1">
        <v>46011</v>
      </c>
      <c r="D396" t="s">
        <v>887</v>
      </c>
      <c r="E396" t="s">
        <v>72</v>
      </c>
      <c r="F396" t="s">
        <v>55</v>
      </c>
      <c r="G396">
        <v>23</v>
      </c>
      <c r="H396" t="s">
        <v>85</v>
      </c>
      <c r="I396" t="s">
        <v>26</v>
      </c>
      <c r="J396" t="s">
        <v>111</v>
      </c>
      <c r="K396" t="s">
        <v>28</v>
      </c>
      <c r="L396">
        <v>1</v>
      </c>
      <c r="M396">
        <v>124000</v>
      </c>
      <c r="N396">
        <v>2</v>
      </c>
      <c r="O396">
        <v>121520</v>
      </c>
      <c r="P396">
        <v>16202.97</v>
      </c>
      <c r="Q396" t="s">
        <v>37</v>
      </c>
      <c r="R396" t="s">
        <v>38</v>
      </c>
      <c r="S396" t="s">
        <v>47</v>
      </c>
      <c r="T396" t="s">
        <v>40</v>
      </c>
    </row>
    <row r="397" spans="1:20" x14ac:dyDescent="0.25">
      <c r="A397" t="s">
        <v>20</v>
      </c>
      <c r="B397" t="s">
        <v>888</v>
      </c>
      <c r="C397" s="1">
        <v>46057</v>
      </c>
      <c r="D397" t="s">
        <v>889</v>
      </c>
      <c r="E397" t="s">
        <v>72</v>
      </c>
      <c r="F397" t="s">
        <v>55</v>
      </c>
      <c r="G397">
        <v>50</v>
      </c>
      <c r="H397" t="s">
        <v>85</v>
      </c>
      <c r="I397" t="s">
        <v>26</v>
      </c>
      <c r="J397" t="s">
        <v>104</v>
      </c>
      <c r="K397" t="s">
        <v>58</v>
      </c>
      <c r="L397">
        <v>1</v>
      </c>
      <c r="M397">
        <v>171000</v>
      </c>
      <c r="N397">
        <v>0</v>
      </c>
      <c r="O397">
        <v>167580</v>
      </c>
      <c r="P397">
        <v>26406.49</v>
      </c>
      <c r="Q397" t="s">
        <v>105</v>
      </c>
      <c r="R397" t="s">
        <v>60</v>
      </c>
      <c r="S397" t="s">
        <v>47</v>
      </c>
      <c r="T397" t="s">
        <v>40</v>
      </c>
    </row>
    <row r="398" spans="1:20" x14ac:dyDescent="0.25">
      <c r="A398" t="s">
        <v>20</v>
      </c>
      <c r="B398" t="s">
        <v>890</v>
      </c>
      <c r="C398" s="1">
        <v>46100</v>
      </c>
      <c r="D398" t="s">
        <v>891</v>
      </c>
      <c r="E398" t="s">
        <v>43</v>
      </c>
      <c r="F398" t="s">
        <v>24</v>
      </c>
      <c r="G398">
        <v>37</v>
      </c>
      <c r="H398" t="s">
        <v>25</v>
      </c>
      <c r="I398" t="s">
        <v>26</v>
      </c>
      <c r="J398" t="s">
        <v>64</v>
      </c>
      <c r="K398" t="s">
        <v>101</v>
      </c>
      <c r="L398">
        <v>1</v>
      </c>
      <c r="M398">
        <v>126000</v>
      </c>
      <c r="N398">
        <v>10</v>
      </c>
      <c r="O398">
        <v>113400</v>
      </c>
      <c r="P398">
        <v>9770.1200000000008</v>
      </c>
      <c r="Q398" t="s">
        <v>82</v>
      </c>
      <c r="R398" t="s">
        <v>60</v>
      </c>
      <c r="S398" t="s">
        <v>61</v>
      </c>
      <c r="T398" t="s">
        <v>40</v>
      </c>
    </row>
    <row r="399" spans="1:20" x14ac:dyDescent="0.25">
      <c r="A399" t="s">
        <v>20</v>
      </c>
      <c r="B399" t="s">
        <v>892</v>
      </c>
      <c r="C399" s="1">
        <v>45842</v>
      </c>
      <c r="D399" t="s">
        <v>893</v>
      </c>
      <c r="E399" t="s">
        <v>80</v>
      </c>
      <c r="F399" t="s">
        <v>55</v>
      </c>
      <c r="G399">
        <v>40</v>
      </c>
      <c r="H399" t="s">
        <v>44</v>
      </c>
      <c r="I399" t="s">
        <v>26</v>
      </c>
      <c r="J399" t="s">
        <v>57</v>
      </c>
      <c r="K399" t="s">
        <v>28</v>
      </c>
      <c r="L399">
        <v>1</v>
      </c>
      <c r="M399">
        <v>176000</v>
      </c>
      <c r="N399">
        <v>2</v>
      </c>
      <c r="O399">
        <v>172480</v>
      </c>
      <c r="P399">
        <v>24218.61</v>
      </c>
      <c r="Q399" t="s">
        <v>105</v>
      </c>
      <c r="R399" t="s">
        <v>38</v>
      </c>
      <c r="S399" t="s">
        <v>69</v>
      </c>
      <c r="T399" t="s">
        <v>32</v>
      </c>
    </row>
    <row r="400" spans="1:20" x14ac:dyDescent="0.25">
      <c r="A400" t="s">
        <v>20</v>
      </c>
      <c r="B400" t="s">
        <v>894</v>
      </c>
      <c r="C400" s="1">
        <v>45682</v>
      </c>
      <c r="D400" t="s">
        <v>895</v>
      </c>
      <c r="E400" t="s">
        <v>80</v>
      </c>
      <c r="F400" t="s">
        <v>55</v>
      </c>
      <c r="G400">
        <v>25</v>
      </c>
      <c r="H400" t="s">
        <v>56</v>
      </c>
      <c r="I400" t="s">
        <v>26</v>
      </c>
      <c r="J400" t="s">
        <v>57</v>
      </c>
      <c r="K400" t="s">
        <v>28</v>
      </c>
      <c r="L400">
        <v>0</v>
      </c>
      <c r="M400">
        <v>175000</v>
      </c>
      <c r="N400">
        <v>3</v>
      </c>
      <c r="O400">
        <v>169750</v>
      </c>
      <c r="P400">
        <v>29195.33</v>
      </c>
      <c r="Q400" t="s">
        <v>82</v>
      </c>
      <c r="R400" t="s">
        <v>30</v>
      </c>
      <c r="S400" t="s">
        <v>87</v>
      </c>
      <c r="T400" t="s">
        <v>32</v>
      </c>
    </row>
    <row r="401" spans="1:20" x14ac:dyDescent="0.25">
      <c r="A401" t="s">
        <v>20</v>
      </c>
      <c r="B401" t="s">
        <v>896</v>
      </c>
      <c r="C401" s="1">
        <v>46136</v>
      </c>
      <c r="D401" t="s">
        <v>897</v>
      </c>
      <c r="E401" t="s">
        <v>35</v>
      </c>
      <c r="F401" t="s">
        <v>24</v>
      </c>
      <c r="G401">
        <v>24</v>
      </c>
      <c r="H401" t="s">
        <v>73</v>
      </c>
      <c r="I401" t="s">
        <v>26</v>
      </c>
      <c r="J401" t="s">
        <v>77</v>
      </c>
      <c r="K401" t="s">
        <v>58</v>
      </c>
      <c r="L401">
        <v>2</v>
      </c>
      <c r="M401">
        <v>197000</v>
      </c>
      <c r="N401">
        <v>2</v>
      </c>
      <c r="O401">
        <v>386120</v>
      </c>
      <c r="P401">
        <v>66822.289999999994</v>
      </c>
      <c r="Q401" t="s">
        <v>86</v>
      </c>
      <c r="R401" t="s">
        <v>60</v>
      </c>
      <c r="S401" t="s">
        <v>31</v>
      </c>
      <c r="T401" t="s">
        <v>32</v>
      </c>
    </row>
    <row r="402" spans="1:20" x14ac:dyDescent="0.25">
      <c r="A402" t="s">
        <v>20</v>
      </c>
      <c r="B402" t="s">
        <v>898</v>
      </c>
      <c r="C402" s="1">
        <v>45929</v>
      </c>
      <c r="D402" t="s">
        <v>899</v>
      </c>
      <c r="E402" t="s">
        <v>35</v>
      </c>
      <c r="F402" t="s">
        <v>55</v>
      </c>
      <c r="G402">
        <v>0</v>
      </c>
      <c r="H402" t="s">
        <v>25</v>
      </c>
      <c r="I402" t="s">
        <v>26</v>
      </c>
      <c r="J402" t="s">
        <v>104</v>
      </c>
      <c r="K402" t="s">
        <v>58</v>
      </c>
      <c r="L402">
        <v>1</v>
      </c>
      <c r="M402">
        <v>170000</v>
      </c>
      <c r="N402">
        <v>0</v>
      </c>
      <c r="O402">
        <v>170000</v>
      </c>
      <c r="P402">
        <v>32131.93</v>
      </c>
      <c r="Q402" t="s">
        <v>52</v>
      </c>
      <c r="R402" t="s">
        <v>38</v>
      </c>
      <c r="S402" t="s">
        <v>31</v>
      </c>
      <c r="T402" t="s">
        <v>40</v>
      </c>
    </row>
    <row r="403" spans="1:20" x14ac:dyDescent="0.25">
      <c r="A403" t="s">
        <v>20</v>
      </c>
      <c r="B403" t="s">
        <v>900</v>
      </c>
      <c r="C403" s="1">
        <v>45766</v>
      </c>
      <c r="D403" t="s">
        <v>901</v>
      </c>
      <c r="E403" t="s">
        <v>72</v>
      </c>
      <c r="F403" t="s">
        <v>55</v>
      </c>
      <c r="G403">
        <v>48</v>
      </c>
      <c r="H403" t="s">
        <v>73</v>
      </c>
      <c r="I403" t="s">
        <v>26</v>
      </c>
      <c r="J403" t="s">
        <v>27</v>
      </c>
      <c r="K403" t="s">
        <v>28</v>
      </c>
      <c r="L403">
        <v>1</v>
      </c>
      <c r="M403">
        <v>95000</v>
      </c>
      <c r="N403">
        <v>2</v>
      </c>
      <c r="O403">
        <v>93100</v>
      </c>
      <c r="P403">
        <v>12000.78</v>
      </c>
      <c r="Q403" t="s">
        <v>82</v>
      </c>
      <c r="R403" t="s">
        <v>30</v>
      </c>
      <c r="S403" t="s">
        <v>87</v>
      </c>
      <c r="T403" t="s">
        <v>40</v>
      </c>
    </row>
    <row r="404" spans="1:20" x14ac:dyDescent="0.25">
      <c r="A404" t="s">
        <v>20</v>
      </c>
      <c r="B404" t="s">
        <v>902</v>
      </c>
      <c r="C404" s="1">
        <v>45696</v>
      </c>
      <c r="D404" t="s">
        <v>903</v>
      </c>
      <c r="E404" t="s">
        <v>72</v>
      </c>
      <c r="F404" t="s">
        <v>55</v>
      </c>
      <c r="G404">
        <v>44</v>
      </c>
      <c r="H404" t="s">
        <v>210</v>
      </c>
      <c r="I404" t="s">
        <v>26</v>
      </c>
      <c r="J404" t="s">
        <v>57</v>
      </c>
      <c r="K404" t="s">
        <v>101</v>
      </c>
      <c r="L404">
        <v>2</v>
      </c>
      <c r="M404">
        <v>174000</v>
      </c>
      <c r="N404">
        <v>10</v>
      </c>
      <c r="O404">
        <v>313200</v>
      </c>
      <c r="P404">
        <v>15019.6</v>
      </c>
      <c r="Q404" t="s">
        <v>59</v>
      </c>
      <c r="R404" t="s">
        <v>30</v>
      </c>
      <c r="S404" t="s">
        <v>87</v>
      </c>
      <c r="T404" t="s">
        <v>40</v>
      </c>
    </row>
    <row r="405" spans="1:20" x14ac:dyDescent="0.25">
      <c r="A405" t="s">
        <v>20</v>
      </c>
      <c r="B405" t="s">
        <v>904</v>
      </c>
      <c r="C405" s="1">
        <v>45661</v>
      </c>
      <c r="D405" t="s">
        <v>905</v>
      </c>
      <c r="E405" t="s">
        <v>35</v>
      </c>
      <c r="F405" t="s">
        <v>55</v>
      </c>
      <c r="G405">
        <v>44</v>
      </c>
      <c r="H405" t="s">
        <v>95</v>
      </c>
      <c r="I405" t="s">
        <v>26</v>
      </c>
      <c r="J405" t="s">
        <v>57</v>
      </c>
      <c r="K405" t="s">
        <v>101</v>
      </c>
      <c r="L405">
        <v>1</v>
      </c>
      <c r="M405">
        <v>177000</v>
      </c>
      <c r="N405">
        <v>0</v>
      </c>
      <c r="O405">
        <v>177000</v>
      </c>
      <c r="P405">
        <v>27467.67</v>
      </c>
      <c r="Q405" t="s">
        <v>906</v>
      </c>
      <c r="R405" t="s">
        <v>60</v>
      </c>
      <c r="S405" t="s">
        <v>47</v>
      </c>
      <c r="T405" t="s">
        <v>32</v>
      </c>
    </row>
    <row r="406" spans="1:20" x14ac:dyDescent="0.25">
      <c r="A406" t="s">
        <v>20</v>
      </c>
      <c r="B406" t="s">
        <v>907</v>
      </c>
      <c r="C406" s="1">
        <v>45954</v>
      </c>
      <c r="D406" t="s">
        <v>908</v>
      </c>
      <c r="E406" t="s">
        <v>129</v>
      </c>
      <c r="F406" t="s">
        <v>55</v>
      </c>
      <c r="G406">
        <v>32</v>
      </c>
      <c r="H406" t="s">
        <v>56</v>
      </c>
      <c r="I406" t="s">
        <v>26</v>
      </c>
      <c r="J406" t="s">
        <v>27</v>
      </c>
      <c r="K406" t="s">
        <v>58</v>
      </c>
      <c r="L406">
        <v>1</v>
      </c>
      <c r="M406">
        <v>95000</v>
      </c>
      <c r="N406">
        <v>0</v>
      </c>
      <c r="O406">
        <v>95000</v>
      </c>
      <c r="P406">
        <v>11310.53</v>
      </c>
      <c r="Q406" t="s">
        <v>52</v>
      </c>
      <c r="R406" t="s">
        <v>60</v>
      </c>
      <c r="S406" t="s">
        <v>61</v>
      </c>
      <c r="T406" t="s">
        <v>40</v>
      </c>
    </row>
    <row r="407" spans="1:20" x14ac:dyDescent="0.25">
      <c r="A407" t="s">
        <v>20</v>
      </c>
      <c r="B407" t="s">
        <v>909</v>
      </c>
      <c r="C407" s="1">
        <v>45801</v>
      </c>
      <c r="D407" t="s">
        <v>910</v>
      </c>
      <c r="E407" t="s">
        <v>50</v>
      </c>
      <c r="F407" t="s">
        <v>55</v>
      </c>
      <c r="G407">
        <v>22</v>
      </c>
      <c r="H407" t="s">
        <v>56</v>
      </c>
      <c r="I407" t="s">
        <v>26</v>
      </c>
      <c r="J407" t="s">
        <v>27</v>
      </c>
      <c r="K407" t="s">
        <v>68</v>
      </c>
      <c r="L407">
        <v>1</v>
      </c>
      <c r="M407">
        <v>97000</v>
      </c>
      <c r="N407">
        <v>5</v>
      </c>
      <c r="O407">
        <v>92150</v>
      </c>
      <c r="P407">
        <v>7930.83</v>
      </c>
      <c r="Q407" t="s">
        <v>46</v>
      </c>
      <c r="R407" t="s">
        <v>38</v>
      </c>
      <c r="S407" t="s">
        <v>69</v>
      </c>
      <c r="T407" t="s">
        <v>40</v>
      </c>
    </row>
    <row r="408" spans="1:20" x14ac:dyDescent="0.25">
      <c r="A408" t="s">
        <v>20</v>
      </c>
      <c r="B408" t="s">
        <v>911</v>
      </c>
      <c r="C408" s="1">
        <v>46003</v>
      </c>
      <c r="D408" t="s">
        <v>912</v>
      </c>
      <c r="E408" t="s">
        <v>94</v>
      </c>
      <c r="F408" t="s">
        <v>55</v>
      </c>
      <c r="G408">
        <v>22</v>
      </c>
      <c r="H408" t="s">
        <v>85</v>
      </c>
      <c r="I408" t="s">
        <v>26</v>
      </c>
      <c r="J408" t="s">
        <v>57</v>
      </c>
      <c r="K408" t="s">
        <v>68</v>
      </c>
      <c r="L408">
        <v>2</v>
      </c>
      <c r="M408">
        <v>173000</v>
      </c>
      <c r="N408">
        <v>0</v>
      </c>
      <c r="O408">
        <v>346000</v>
      </c>
      <c r="P408">
        <v>62032.88</v>
      </c>
      <c r="Q408" t="s">
        <v>46</v>
      </c>
      <c r="R408" t="s">
        <v>96</v>
      </c>
      <c r="S408" t="s">
        <v>61</v>
      </c>
      <c r="T408" t="s">
        <v>32</v>
      </c>
    </row>
    <row r="409" spans="1:20" x14ac:dyDescent="0.25">
      <c r="A409" t="s">
        <v>20</v>
      </c>
      <c r="B409" t="s">
        <v>913</v>
      </c>
      <c r="C409" s="1">
        <v>45704</v>
      </c>
      <c r="D409" t="s">
        <v>914</v>
      </c>
      <c r="E409" t="s">
        <v>129</v>
      </c>
      <c r="F409" t="s">
        <v>55</v>
      </c>
      <c r="G409">
        <v>35</v>
      </c>
      <c r="H409" t="s">
        <v>25</v>
      </c>
      <c r="I409" t="s">
        <v>26</v>
      </c>
      <c r="J409" t="s">
        <v>27</v>
      </c>
      <c r="K409" t="s">
        <v>68</v>
      </c>
      <c r="L409">
        <v>1</v>
      </c>
      <c r="M409">
        <v>95000</v>
      </c>
      <c r="N409">
        <v>10</v>
      </c>
      <c r="O409">
        <v>85500</v>
      </c>
      <c r="P409">
        <v>11182.68</v>
      </c>
      <c r="Q409" t="s">
        <v>105</v>
      </c>
      <c r="R409" t="s">
        <v>60</v>
      </c>
      <c r="S409" t="s">
        <v>69</v>
      </c>
      <c r="T409" t="s">
        <v>40</v>
      </c>
    </row>
    <row r="410" spans="1:20" x14ac:dyDescent="0.25">
      <c r="A410" t="s">
        <v>20</v>
      </c>
      <c r="B410" t="s">
        <v>915</v>
      </c>
      <c r="C410" s="1">
        <v>46267</v>
      </c>
      <c r="D410" t="s">
        <v>916</v>
      </c>
      <c r="E410" t="s">
        <v>23</v>
      </c>
      <c r="F410" t="s">
        <v>55</v>
      </c>
      <c r="G410">
        <v>34</v>
      </c>
      <c r="H410" t="s">
        <v>73</v>
      </c>
      <c r="I410" t="s">
        <v>26</v>
      </c>
      <c r="J410" t="s">
        <v>81</v>
      </c>
      <c r="K410" t="s">
        <v>58</v>
      </c>
      <c r="L410">
        <v>1</v>
      </c>
      <c r="M410">
        <v>233000</v>
      </c>
      <c r="N410">
        <v>0</v>
      </c>
      <c r="O410">
        <v>233000</v>
      </c>
      <c r="P410">
        <v>48067.54</v>
      </c>
      <c r="Q410" t="s">
        <v>86</v>
      </c>
      <c r="R410" t="s">
        <v>38</v>
      </c>
      <c r="S410" t="s">
        <v>39</v>
      </c>
      <c r="T410" t="s">
        <v>32</v>
      </c>
    </row>
    <row r="411" spans="1:20" x14ac:dyDescent="0.25">
      <c r="A411" t="s">
        <v>20</v>
      </c>
      <c r="B411" t="s">
        <v>917</v>
      </c>
      <c r="C411" s="1">
        <v>46001</v>
      </c>
      <c r="D411" t="s">
        <v>918</v>
      </c>
      <c r="E411" t="s">
        <v>23</v>
      </c>
      <c r="F411" t="s">
        <v>24</v>
      </c>
      <c r="G411">
        <v>24</v>
      </c>
      <c r="H411" t="s">
        <v>73</v>
      </c>
      <c r="I411" t="s">
        <v>26</v>
      </c>
      <c r="J411" t="s">
        <v>81</v>
      </c>
      <c r="K411" t="s">
        <v>68</v>
      </c>
      <c r="L411">
        <v>1</v>
      </c>
      <c r="M411">
        <v>234000</v>
      </c>
      <c r="N411">
        <v>0</v>
      </c>
      <c r="O411">
        <v>234000</v>
      </c>
      <c r="P411">
        <v>34826.17</v>
      </c>
      <c r="Q411" t="s">
        <v>59</v>
      </c>
      <c r="R411" t="s">
        <v>96</v>
      </c>
      <c r="S411" t="s">
        <v>61</v>
      </c>
      <c r="T411" t="s">
        <v>40</v>
      </c>
    </row>
    <row r="412" spans="1:20" x14ac:dyDescent="0.25">
      <c r="A412" t="s">
        <v>20</v>
      </c>
      <c r="B412" t="s">
        <v>919</v>
      </c>
      <c r="C412" s="1">
        <v>46043</v>
      </c>
      <c r="D412" t="s">
        <v>920</v>
      </c>
      <c r="E412" t="s">
        <v>80</v>
      </c>
      <c r="F412" t="s">
        <v>24</v>
      </c>
      <c r="G412">
        <v>30</v>
      </c>
      <c r="H412" t="s">
        <v>73</v>
      </c>
      <c r="I412" t="s">
        <v>26</v>
      </c>
      <c r="J412" t="s">
        <v>36</v>
      </c>
      <c r="K412" t="s">
        <v>28</v>
      </c>
      <c r="L412">
        <v>1</v>
      </c>
      <c r="M412">
        <v>116000</v>
      </c>
      <c r="N412">
        <v>0</v>
      </c>
      <c r="O412">
        <v>116000</v>
      </c>
      <c r="P412">
        <v>23663.48</v>
      </c>
      <c r="Q412" t="s">
        <v>105</v>
      </c>
      <c r="R412" t="s">
        <v>30</v>
      </c>
      <c r="S412" t="s">
        <v>31</v>
      </c>
      <c r="T412" t="s">
        <v>32</v>
      </c>
    </row>
    <row r="413" spans="1:20" x14ac:dyDescent="0.25">
      <c r="A413" t="s">
        <v>20</v>
      </c>
      <c r="B413" t="s">
        <v>921</v>
      </c>
      <c r="C413" s="1">
        <v>45804</v>
      </c>
      <c r="D413" t="s">
        <v>922</v>
      </c>
      <c r="E413" t="s">
        <v>35</v>
      </c>
      <c r="F413" t="s">
        <v>24</v>
      </c>
      <c r="G413">
        <v>37</v>
      </c>
      <c r="H413" t="s">
        <v>51</v>
      </c>
      <c r="I413" t="s">
        <v>26</v>
      </c>
      <c r="J413" t="s">
        <v>81</v>
      </c>
      <c r="K413" t="s">
        <v>68</v>
      </c>
      <c r="L413">
        <v>1</v>
      </c>
      <c r="M413">
        <v>235000</v>
      </c>
      <c r="N413">
        <v>10</v>
      </c>
      <c r="O413">
        <v>211500</v>
      </c>
      <c r="P413">
        <v>24621.63</v>
      </c>
      <c r="Q413" t="s">
        <v>37</v>
      </c>
      <c r="R413" t="s">
        <v>30</v>
      </c>
      <c r="S413" t="s">
        <v>87</v>
      </c>
      <c r="T413" t="s">
        <v>32</v>
      </c>
    </row>
    <row r="414" spans="1:20" x14ac:dyDescent="0.25">
      <c r="A414" t="s">
        <v>20</v>
      </c>
      <c r="B414" t="s">
        <v>923</v>
      </c>
      <c r="C414" s="1">
        <v>46229</v>
      </c>
      <c r="D414" t="s">
        <v>924</v>
      </c>
      <c r="E414" t="s">
        <v>50</v>
      </c>
      <c r="F414" t="s">
        <v>55</v>
      </c>
      <c r="G414">
        <v>35</v>
      </c>
      <c r="H414" t="s">
        <v>197</v>
      </c>
      <c r="I414" t="s">
        <v>26</v>
      </c>
      <c r="J414" t="s">
        <v>57</v>
      </c>
      <c r="K414" t="s">
        <v>28</v>
      </c>
      <c r="L414">
        <v>1</v>
      </c>
      <c r="M414">
        <v>175000</v>
      </c>
      <c r="N414">
        <v>3</v>
      </c>
      <c r="O414">
        <v>169750</v>
      </c>
      <c r="P414">
        <v>24455.5</v>
      </c>
      <c r="Q414" t="s">
        <v>86</v>
      </c>
      <c r="R414" t="s">
        <v>96</v>
      </c>
      <c r="S414" t="s">
        <v>47</v>
      </c>
      <c r="T414" t="s">
        <v>32</v>
      </c>
    </row>
    <row r="415" spans="1:20" x14ac:dyDescent="0.25">
      <c r="A415" t="s">
        <v>20</v>
      </c>
      <c r="B415" t="s">
        <v>925</v>
      </c>
      <c r="C415" s="1">
        <v>46143</v>
      </c>
      <c r="D415" t="s">
        <v>926</v>
      </c>
      <c r="E415" t="s">
        <v>129</v>
      </c>
      <c r="F415" t="s">
        <v>55</v>
      </c>
      <c r="G415">
        <v>51</v>
      </c>
      <c r="H415" t="s">
        <v>25</v>
      </c>
      <c r="I415" t="s">
        <v>26</v>
      </c>
      <c r="J415" t="s">
        <v>104</v>
      </c>
      <c r="K415" t="s">
        <v>28</v>
      </c>
      <c r="L415">
        <v>1</v>
      </c>
      <c r="M415">
        <v>169000</v>
      </c>
      <c r="N415">
        <v>10</v>
      </c>
      <c r="O415">
        <v>152100</v>
      </c>
      <c r="P415">
        <v>3168.11</v>
      </c>
      <c r="Q415" t="s">
        <v>105</v>
      </c>
      <c r="R415" t="s">
        <v>60</v>
      </c>
      <c r="S415" t="s">
        <v>39</v>
      </c>
      <c r="T415" t="s">
        <v>32</v>
      </c>
    </row>
    <row r="416" spans="1:20" x14ac:dyDescent="0.25">
      <c r="A416" t="s">
        <v>20</v>
      </c>
      <c r="B416" t="s">
        <v>927</v>
      </c>
      <c r="C416" s="1">
        <v>45711</v>
      </c>
      <c r="D416" t="s">
        <v>928</v>
      </c>
      <c r="E416" t="s">
        <v>129</v>
      </c>
      <c r="F416" t="s">
        <v>55</v>
      </c>
      <c r="G416">
        <v>0</v>
      </c>
      <c r="H416" t="s">
        <v>51</v>
      </c>
      <c r="I416" t="s">
        <v>26</v>
      </c>
      <c r="J416" t="s">
        <v>77</v>
      </c>
      <c r="K416" t="s">
        <v>28</v>
      </c>
      <c r="L416">
        <v>1</v>
      </c>
      <c r="M416">
        <v>195000</v>
      </c>
      <c r="N416">
        <v>0</v>
      </c>
      <c r="O416">
        <v>195000</v>
      </c>
      <c r="P416">
        <v>40456.550000000003</v>
      </c>
      <c r="Q416" t="s">
        <v>46</v>
      </c>
      <c r="R416" t="s">
        <v>30</v>
      </c>
      <c r="S416" t="s">
        <v>69</v>
      </c>
      <c r="T416" t="s">
        <v>32</v>
      </c>
    </row>
    <row r="417" spans="1:20" x14ac:dyDescent="0.25">
      <c r="A417" t="s">
        <v>20</v>
      </c>
      <c r="B417" t="s">
        <v>929</v>
      </c>
      <c r="C417" s="1">
        <v>45893</v>
      </c>
      <c r="D417" t="s">
        <v>930</v>
      </c>
      <c r="E417" t="s">
        <v>43</v>
      </c>
      <c r="F417" t="s">
        <v>55</v>
      </c>
      <c r="G417">
        <v>27</v>
      </c>
      <c r="H417" t="s">
        <v>56</v>
      </c>
      <c r="I417" t="s">
        <v>26</v>
      </c>
      <c r="J417" t="s">
        <v>57</v>
      </c>
      <c r="K417" t="s">
        <v>28</v>
      </c>
      <c r="L417">
        <v>1</v>
      </c>
      <c r="M417">
        <v>177000</v>
      </c>
      <c r="N417">
        <v>10</v>
      </c>
      <c r="O417">
        <v>159300</v>
      </c>
      <c r="P417">
        <v>2158.56</v>
      </c>
      <c r="Q417" t="s">
        <v>52</v>
      </c>
      <c r="R417" t="s">
        <v>38</v>
      </c>
      <c r="S417" t="s">
        <v>31</v>
      </c>
      <c r="T417" t="s">
        <v>40</v>
      </c>
    </row>
    <row r="418" spans="1:20" x14ac:dyDescent="0.25">
      <c r="A418" t="s">
        <v>20</v>
      </c>
      <c r="B418" t="s">
        <v>931</v>
      </c>
      <c r="C418" s="1">
        <v>45806</v>
      </c>
      <c r="D418" t="s">
        <v>932</v>
      </c>
      <c r="E418" t="s">
        <v>35</v>
      </c>
      <c r="F418" t="s">
        <v>55</v>
      </c>
      <c r="G418">
        <v>33</v>
      </c>
      <c r="H418" t="s">
        <v>108</v>
      </c>
      <c r="I418" t="s">
        <v>26</v>
      </c>
      <c r="J418" t="s">
        <v>111</v>
      </c>
      <c r="K418" t="s">
        <v>58</v>
      </c>
      <c r="L418">
        <v>1</v>
      </c>
      <c r="M418">
        <v>125000</v>
      </c>
      <c r="N418">
        <v>0</v>
      </c>
      <c r="O418">
        <v>125000</v>
      </c>
      <c r="P418">
        <v>14142.67</v>
      </c>
      <c r="Q418" t="s">
        <v>86</v>
      </c>
      <c r="R418" t="s">
        <v>96</v>
      </c>
      <c r="S418" t="s">
        <v>47</v>
      </c>
      <c r="T418" t="s">
        <v>32</v>
      </c>
    </row>
    <row r="419" spans="1:20" x14ac:dyDescent="0.25">
      <c r="A419" t="s">
        <v>20</v>
      </c>
      <c r="B419" t="s">
        <v>933</v>
      </c>
      <c r="C419" s="1">
        <v>45719</v>
      </c>
      <c r="D419" t="s">
        <v>934</v>
      </c>
      <c r="E419" t="s">
        <v>129</v>
      </c>
      <c r="F419" t="s">
        <v>55</v>
      </c>
      <c r="G419">
        <v>37</v>
      </c>
      <c r="H419" t="s">
        <v>51</v>
      </c>
      <c r="I419" t="s">
        <v>26</v>
      </c>
      <c r="J419" t="s">
        <v>64</v>
      </c>
      <c r="K419" t="s">
        <v>58</v>
      </c>
      <c r="L419">
        <v>1</v>
      </c>
      <c r="M419">
        <v>124000</v>
      </c>
      <c r="N419">
        <v>0</v>
      </c>
      <c r="O419">
        <v>124000</v>
      </c>
      <c r="P419">
        <v>16979.91</v>
      </c>
      <c r="Q419" t="s">
        <v>46</v>
      </c>
      <c r="R419" t="s">
        <v>38</v>
      </c>
      <c r="S419" t="s">
        <v>31</v>
      </c>
      <c r="T419" t="s">
        <v>40</v>
      </c>
    </row>
    <row r="420" spans="1:20" x14ac:dyDescent="0.25">
      <c r="A420" t="s">
        <v>20</v>
      </c>
      <c r="B420" t="s">
        <v>935</v>
      </c>
      <c r="C420" s="1">
        <v>46249</v>
      </c>
      <c r="D420" t="s">
        <v>936</v>
      </c>
      <c r="E420" t="s">
        <v>50</v>
      </c>
      <c r="F420" t="s">
        <v>55</v>
      </c>
      <c r="G420">
        <v>55</v>
      </c>
      <c r="H420" t="s">
        <v>51</v>
      </c>
      <c r="I420" t="s">
        <v>26</v>
      </c>
      <c r="J420" t="s">
        <v>111</v>
      </c>
      <c r="K420" t="s">
        <v>58</v>
      </c>
      <c r="L420">
        <v>1</v>
      </c>
      <c r="M420">
        <v>127000</v>
      </c>
      <c r="N420">
        <v>7</v>
      </c>
      <c r="O420">
        <v>118110</v>
      </c>
      <c r="P420">
        <v>5248.99</v>
      </c>
      <c r="Q420" t="s">
        <v>46</v>
      </c>
      <c r="R420" t="s">
        <v>96</v>
      </c>
      <c r="S420" t="s">
        <v>87</v>
      </c>
      <c r="T420" t="s">
        <v>40</v>
      </c>
    </row>
    <row r="421" spans="1:20" x14ac:dyDescent="0.25">
      <c r="A421" t="s">
        <v>20</v>
      </c>
      <c r="B421" t="s">
        <v>937</v>
      </c>
      <c r="C421" s="1">
        <v>45911</v>
      </c>
      <c r="D421" t="s">
        <v>938</v>
      </c>
      <c r="E421" t="s">
        <v>94</v>
      </c>
      <c r="F421" t="s">
        <v>55</v>
      </c>
      <c r="G421">
        <v>40</v>
      </c>
      <c r="H421" t="s">
        <v>51</v>
      </c>
      <c r="I421" t="s">
        <v>26</v>
      </c>
      <c r="J421" t="s">
        <v>57</v>
      </c>
      <c r="K421" t="s">
        <v>68</v>
      </c>
      <c r="L421">
        <v>1</v>
      </c>
      <c r="M421">
        <v>175000</v>
      </c>
      <c r="N421">
        <v>10</v>
      </c>
      <c r="O421">
        <v>157500</v>
      </c>
      <c r="P421">
        <v>2675.43</v>
      </c>
      <c r="Q421" t="s">
        <v>105</v>
      </c>
      <c r="R421" t="s">
        <v>38</v>
      </c>
      <c r="S421" t="s">
        <v>69</v>
      </c>
      <c r="T421" t="s">
        <v>32</v>
      </c>
    </row>
    <row r="422" spans="1:20" x14ac:dyDescent="0.25">
      <c r="A422" t="s">
        <v>20</v>
      </c>
      <c r="B422" t="s">
        <v>939</v>
      </c>
      <c r="C422" s="1">
        <v>45758</v>
      </c>
      <c r="D422" t="s">
        <v>940</v>
      </c>
      <c r="E422" t="s">
        <v>137</v>
      </c>
      <c r="F422" t="s">
        <v>55</v>
      </c>
      <c r="G422">
        <v>48</v>
      </c>
      <c r="H422" t="s">
        <v>25</v>
      </c>
      <c r="I422" t="s">
        <v>26</v>
      </c>
      <c r="J422" t="s">
        <v>57</v>
      </c>
      <c r="K422" t="s">
        <v>28</v>
      </c>
      <c r="L422">
        <v>1</v>
      </c>
      <c r="M422">
        <v>175000</v>
      </c>
      <c r="N422">
        <v>5</v>
      </c>
      <c r="O422">
        <v>166250</v>
      </c>
      <c r="P422">
        <v>12745.95</v>
      </c>
      <c r="Q422" t="s">
        <v>105</v>
      </c>
      <c r="R422" t="s">
        <v>38</v>
      </c>
      <c r="S422" t="s">
        <v>31</v>
      </c>
      <c r="T422" t="s">
        <v>32</v>
      </c>
    </row>
    <row r="423" spans="1:20" x14ac:dyDescent="0.25">
      <c r="A423" t="s">
        <v>20</v>
      </c>
      <c r="B423" t="s">
        <v>941</v>
      </c>
      <c r="C423" s="1">
        <v>45970</v>
      </c>
      <c r="D423" t="s">
        <v>942</v>
      </c>
      <c r="E423" t="s">
        <v>35</v>
      </c>
      <c r="F423" t="s">
        <v>55</v>
      </c>
      <c r="G423">
        <v>30</v>
      </c>
      <c r="H423" t="s">
        <v>51</v>
      </c>
      <c r="I423" t="s">
        <v>26</v>
      </c>
      <c r="J423" t="s">
        <v>64</v>
      </c>
      <c r="K423" t="s">
        <v>58</v>
      </c>
      <c r="L423">
        <v>1</v>
      </c>
      <c r="M423">
        <v>123000</v>
      </c>
      <c r="N423">
        <v>0</v>
      </c>
      <c r="O423">
        <v>123000</v>
      </c>
      <c r="P423">
        <v>19978.400000000001</v>
      </c>
      <c r="Q423" t="s">
        <v>46</v>
      </c>
      <c r="R423" t="s">
        <v>96</v>
      </c>
      <c r="S423" t="s">
        <v>61</v>
      </c>
      <c r="T423" t="s">
        <v>40</v>
      </c>
    </row>
    <row r="424" spans="1:20" x14ac:dyDescent="0.25">
      <c r="A424" t="s">
        <v>20</v>
      </c>
      <c r="B424" t="s">
        <v>943</v>
      </c>
      <c r="C424" s="1">
        <v>45730</v>
      </c>
      <c r="D424" t="s">
        <v>944</v>
      </c>
      <c r="E424" t="s">
        <v>43</v>
      </c>
      <c r="F424" t="s">
        <v>55</v>
      </c>
      <c r="G424">
        <v>44</v>
      </c>
      <c r="H424" t="s">
        <v>56</v>
      </c>
      <c r="I424" t="s">
        <v>26</v>
      </c>
      <c r="J424" t="s">
        <v>45</v>
      </c>
      <c r="K424" t="s">
        <v>101</v>
      </c>
      <c r="L424">
        <v>1</v>
      </c>
      <c r="M424">
        <v>100000</v>
      </c>
      <c r="N424">
        <v>10</v>
      </c>
      <c r="O424">
        <v>90000</v>
      </c>
      <c r="P424">
        <v>11983.64</v>
      </c>
      <c r="Q424" t="s">
        <v>59</v>
      </c>
      <c r="R424" t="s">
        <v>60</v>
      </c>
      <c r="S424" t="s">
        <v>61</v>
      </c>
      <c r="T424" t="s">
        <v>32</v>
      </c>
    </row>
    <row r="425" spans="1:20" x14ac:dyDescent="0.25">
      <c r="A425" t="s">
        <v>20</v>
      </c>
      <c r="B425" t="s">
        <v>945</v>
      </c>
      <c r="C425" s="1">
        <v>46030</v>
      </c>
      <c r="D425" t="s">
        <v>946</v>
      </c>
      <c r="E425" t="s">
        <v>23</v>
      </c>
      <c r="F425" t="s">
        <v>24</v>
      </c>
      <c r="G425">
        <v>23</v>
      </c>
      <c r="H425" t="s">
        <v>56</v>
      </c>
      <c r="I425" t="s">
        <v>26</v>
      </c>
      <c r="J425" t="s">
        <v>27</v>
      </c>
      <c r="K425" t="s">
        <v>101</v>
      </c>
      <c r="L425">
        <v>1</v>
      </c>
      <c r="M425">
        <v>93000</v>
      </c>
      <c r="N425">
        <v>7</v>
      </c>
      <c r="O425">
        <v>86490</v>
      </c>
      <c r="P425">
        <v>3400.2</v>
      </c>
      <c r="Q425" t="s">
        <v>46</v>
      </c>
      <c r="R425" t="s">
        <v>30</v>
      </c>
      <c r="S425" t="s">
        <v>39</v>
      </c>
      <c r="T425" t="s">
        <v>40</v>
      </c>
    </row>
    <row r="426" spans="1:20" x14ac:dyDescent="0.25">
      <c r="A426" t="s">
        <v>20</v>
      </c>
      <c r="B426" t="s">
        <v>947</v>
      </c>
      <c r="C426" s="1">
        <v>45902</v>
      </c>
      <c r="D426" t="s">
        <v>948</v>
      </c>
      <c r="E426" t="s">
        <v>23</v>
      </c>
      <c r="F426" t="s">
        <v>24</v>
      </c>
      <c r="G426">
        <v>54</v>
      </c>
      <c r="H426" t="s">
        <v>108</v>
      </c>
      <c r="I426" t="s">
        <v>26</v>
      </c>
      <c r="J426" t="s">
        <v>45</v>
      </c>
      <c r="K426" t="s">
        <v>68</v>
      </c>
      <c r="L426">
        <v>1</v>
      </c>
      <c r="M426">
        <v>97000</v>
      </c>
      <c r="N426">
        <v>2</v>
      </c>
      <c r="O426">
        <v>95060</v>
      </c>
      <c r="P426">
        <v>7978.23</v>
      </c>
      <c r="Q426" t="s">
        <v>52</v>
      </c>
      <c r="R426" t="s">
        <v>60</v>
      </c>
      <c r="S426" t="s">
        <v>39</v>
      </c>
      <c r="T426" t="s">
        <v>40</v>
      </c>
    </row>
    <row r="427" spans="1:20" x14ac:dyDescent="0.25">
      <c r="A427" t="s">
        <v>20</v>
      </c>
      <c r="B427" t="s">
        <v>949</v>
      </c>
      <c r="C427" s="1">
        <v>46155</v>
      </c>
      <c r="D427" t="s">
        <v>950</v>
      </c>
      <c r="E427" t="s">
        <v>23</v>
      </c>
      <c r="F427" t="s">
        <v>24</v>
      </c>
      <c r="G427">
        <v>52</v>
      </c>
      <c r="H427" t="s">
        <v>95</v>
      </c>
      <c r="I427" t="s">
        <v>26</v>
      </c>
      <c r="J427" t="s">
        <v>36</v>
      </c>
      <c r="K427" t="s">
        <v>101</v>
      </c>
      <c r="L427">
        <v>1</v>
      </c>
      <c r="M427">
        <v>113000</v>
      </c>
      <c r="N427">
        <v>3</v>
      </c>
      <c r="O427">
        <v>109610</v>
      </c>
      <c r="P427">
        <v>16788.73</v>
      </c>
      <c r="Q427" t="s">
        <v>46</v>
      </c>
      <c r="R427" t="s">
        <v>60</v>
      </c>
      <c r="S427" t="s">
        <v>61</v>
      </c>
      <c r="T427" t="s">
        <v>32</v>
      </c>
    </row>
    <row r="428" spans="1:20" x14ac:dyDescent="0.25">
      <c r="A428" t="s">
        <v>20</v>
      </c>
      <c r="B428" t="s">
        <v>951</v>
      </c>
      <c r="C428" s="1">
        <v>45736</v>
      </c>
      <c r="D428" t="s">
        <v>952</v>
      </c>
      <c r="E428" t="s">
        <v>129</v>
      </c>
      <c r="F428" t="s">
        <v>24</v>
      </c>
      <c r="G428">
        <v>26</v>
      </c>
      <c r="H428" t="s">
        <v>85</v>
      </c>
      <c r="I428" t="s">
        <v>26</v>
      </c>
      <c r="J428" t="s">
        <v>111</v>
      </c>
      <c r="K428" t="s">
        <v>28</v>
      </c>
      <c r="L428">
        <v>1</v>
      </c>
      <c r="M428">
        <v>125000</v>
      </c>
      <c r="N428">
        <v>0</v>
      </c>
      <c r="O428">
        <v>122500</v>
      </c>
      <c r="P428">
        <v>20674.41</v>
      </c>
      <c r="Q428" t="s">
        <v>37</v>
      </c>
      <c r="R428" t="s">
        <v>38</v>
      </c>
      <c r="S428" t="s">
        <v>31</v>
      </c>
      <c r="T428" t="s">
        <v>32</v>
      </c>
    </row>
    <row r="429" spans="1:20" x14ac:dyDescent="0.25">
      <c r="A429" t="s">
        <v>20</v>
      </c>
      <c r="B429" t="s">
        <v>953</v>
      </c>
      <c r="C429" s="1">
        <v>46143</v>
      </c>
      <c r="D429" t="s">
        <v>954</v>
      </c>
      <c r="E429" t="s">
        <v>94</v>
      </c>
      <c r="F429" t="s">
        <v>24</v>
      </c>
      <c r="G429">
        <v>42</v>
      </c>
      <c r="H429" t="s">
        <v>25</v>
      </c>
      <c r="I429" t="s">
        <v>26</v>
      </c>
      <c r="J429" t="s">
        <v>36</v>
      </c>
      <c r="K429" t="s">
        <v>28</v>
      </c>
      <c r="L429">
        <v>1</v>
      </c>
      <c r="M429">
        <v>117000</v>
      </c>
      <c r="N429">
        <v>7</v>
      </c>
      <c r="O429">
        <v>108810</v>
      </c>
      <c r="P429">
        <v>4468.63</v>
      </c>
      <c r="Q429" t="s">
        <v>74</v>
      </c>
      <c r="R429" t="s">
        <v>96</v>
      </c>
      <c r="S429" t="s">
        <v>69</v>
      </c>
      <c r="T429" t="s">
        <v>32</v>
      </c>
    </row>
    <row r="430" spans="1:20" x14ac:dyDescent="0.25">
      <c r="A430" t="s">
        <v>20</v>
      </c>
      <c r="B430" t="s">
        <v>955</v>
      </c>
      <c r="C430" s="1">
        <v>45992</v>
      </c>
      <c r="D430" t="s">
        <v>956</v>
      </c>
      <c r="E430" t="s">
        <v>35</v>
      </c>
      <c r="F430" t="s">
        <v>24</v>
      </c>
      <c r="G430">
        <v>51</v>
      </c>
      <c r="H430" t="s">
        <v>56</v>
      </c>
      <c r="I430" t="s">
        <v>26</v>
      </c>
      <c r="J430" t="s">
        <v>111</v>
      </c>
      <c r="K430" t="s">
        <v>101</v>
      </c>
      <c r="L430">
        <v>1</v>
      </c>
      <c r="M430">
        <v>125000</v>
      </c>
      <c r="N430">
        <v>10</v>
      </c>
      <c r="O430">
        <v>112500</v>
      </c>
      <c r="P430">
        <v>5309.23</v>
      </c>
      <c r="Q430" t="s">
        <v>37</v>
      </c>
      <c r="R430" t="s">
        <v>60</v>
      </c>
      <c r="S430" t="s">
        <v>31</v>
      </c>
      <c r="T430" t="s">
        <v>40</v>
      </c>
    </row>
    <row r="431" spans="1:20" x14ac:dyDescent="0.25">
      <c r="A431" t="s">
        <v>20</v>
      </c>
      <c r="B431" t="s">
        <v>957</v>
      </c>
      <c r="C431" s="1">
        <v>45949</v>
      </c>
      <c r="D431" t="s">
        <v>958</v>
      </c>
      <c r="E431" t="s">
        <v>129</v>
      </c>
      <c r="F431" t="s">
        <v>55</v>
      </c>
      <c r="G431">
        <v>49</v>
      </c>
      <c r="H431" t="s">
        <v>85</v>
      </c>
      <c r="I431" t="s">
        <v>26</v>
      </c>
      <c r="J431" t="s">
        <v>111</v>
      </c>
      <c r="K431" t="s">
        <v>101</v>
      </c>
      <c r="L431">
        <v>1</v>
      </c>
      <c r="M431">
        <v>125000</v>
      </c>
      <c r="N431">
        <v>0</v>
      </c>
      <c r="O431">
        <v>125000</v>
      </c>
      <c r="P431">
        <v>25274.92</v>
      </c>
      <c r="Q431" t="s">
        <v>37</v>
      </c>
      <c r="R431" t="s">
        <v>96</v>
      </c>
      <c r="S431" t="s">
        <v>61</v>
      </c>
      <c r="T431" t="s">
        <v>32</v>
      </c>
    </row>
    <row r="432" spans="1:20" x14ac:dyDescent="0.25">
      <c r="A432" t="s">
        <v>20</v>
      </c>
      <c r="B432" t="s">
        <v>959</v>
      </c>
      <c r="C432" s="1">
        <v>45924</v>
      </c>
      <c r="D432" t="s">
        <v>960</v>
      </c>
      <c r="E432" t="s">
        <v>134</v>
      </c>
      <c r="F432" t="s">
        <v>55</v>
      </c>
      <c r="G432">
        <v>43</v>
      </c>
      <c r="H432" t="s">
        <v>44</v>
      </c>
      <c r="I432" t="s">
        <v>26</v>
      </c>
      <c r="J432" t="s">
        <v>158</v>
      </c>
      <c r="K432" t="s">
        <v>28</v>
      </c>
      <c r="L432">
        <v>1</v>
      </c>
      <c r="M432">
        <v>98000</v>
      </c>
      <c r="N432">
        <v>7</v>
      </c>
      <c r="O432">
        <v>91140</v>
      </c>
      <c r="P432">
        <v>13212.67</v>
      </c>
      <c r="Q432" t="s">
        <v>86</v>
      </c>
      <c r="R432" t="s">
        <v>60</v>
      </c>
      <c r="S432" t="s">
        <v>31</v>
      </c>
      <c r="T432" t="s">
        <v>40</v>
      </c>
    </row>
    <row r="433" spans="1:20" x14ac:dyDescent="0.25">
      <c r="A433" t="s">
        <v>20</v>
      </c>
      <c r="B433" t="s">
        <v>961</v>
      </c>
      <c r="C433" s="1">
        <v>46169</v>
      </c>
      <c r="D433" t="s">
        <v>962</v>
      </c>
      <c r="E433" t="s">
        <v>137</v>
      </c>
      <c r="F433" t="s">
        <v>24</v>
      </c>
      <c r="G433">
        <v>29</v>
      </c>
      <c r="H433" t="s">
        <v>73</v>
      </c>
      <c r="I433" t="s">
        <v>26</v>
      </c>
      <c r="J433" t="s">
        <v>57</v>
      </c>
      <c r="K433" t="s">
        <v>68</v>
      </c>
      <c r="L433">
        <v>1</v>
      </c>
      <c r="M433">
        <v>173000</v>
      </c>
      <c r="N433">
        <v>0</v>
      </c>
      <c r="O433">
        <v>173000</v>
      </c>
      <c r="P433">
        <v>29661.29</v>
      </c>
      <c r="Q433" t="s">
        <v>105</v>
      </c>
      <c r="R433" t="s">
        <v>60</v>
      </c>
      <c r="S433" t="s">
        <v>61</v>
      </c>
      <c r="T433" t="s">
        <v>40</v>
      </c>
    </row>
    <row r="434" spans="1:20" x14ac:dyDescent="0.25">
      <c r="A434" t="s">
        <v>20</v>
      </c>
      <c r="B434" t="s">
        <v>963</v>
      </c>
      <c r="C434" s="1">
        <v>46236</v>
      </c>
      <c r="D434" t="s">
        <v>964</v>
      </c>
      <c r="E434" t="s">
        <v>43</v>
      </c>
      <c r="F434" t="s">
        <v>55</v>
      </c>
      <c r="G434">
        <v>48</v>
      </c>
      <c r="H434" t="s">
        <v>51</v>
      </c>
      <c r="I434" t="s">
        <v>26</v>
      </c>
      <c r="J434" t="s">
        <v>57</v>
      </c>
      <c r="K434" t="s">
        <v>58</v>
      </c>
      <c r="L434">
        <v>2</v>
      </c>
      <c r="M434">
        <v>176000</v>
      </c>
      <c r="N434">
        <v>10</v>
      </c>
      <c r="O434">
        <v>316800</v>
      </c>
      <c r="P434">
        <v>36027.19</v>
      </c>
      <c r="Q434" t="s">
        <v>105</v>
      </c>
      <c r="R434" t="s">
        <v>96</v>
      </c>
      <c r="S434" t="s">
        <v>61</v>
      </c>
      <c r="T434" t="s">
        <v>32</v>
      </c>
    </row>
    <row r="435" spans="1:20" x14ac:dyDescent="0.25">
      <c r="A435" t="s">
        <v>20</v>
      </c>
      <c r="B435" t="s">
        <v>965</v>
      </c>
      <c r="C435" s="1">
        <v>45992</v>
      </c>
      <c r="D435" t="s">
        <v>966</v>
      </c>
      <c r="E435" t="s">
        <v>50</v>
      </c>
      <c r="F435" t="s">
        <v>55</v>
      </c>
      <c r="G435">
        <v>23</v>
      </c>
      <c r="H435" t="s">
        <v>25</v>
      </c>
      <c r="I435" t="s">
        <v>26</v>
      </c>
      <c r="J435" t="s">
        <v>104</v>
      </c>
      <c r="K435" t="s">
        <v>101</v>
      </c>
      <c r="L435">
        <v>1</v>
      </c>
      <c r="M435">
        <v>169000</v>
      </c>
      <c r="N435">
        <v>5</v>
      </c>
      <c r="O435">
        <v>160550</v>
      </c>
      <c r="P435">
        <v>21482.06</v>
      </c>
      <c r="Q435" t="s">
        <v>52</v>
      </c>
      <c r="R435" t="s">
        <v>30</v>
      </c>
      <c r="S435" t="s">
        <v>69</v>
      </c>
      <c r="T435" t="s">
        <v>40</v>
      </c>
    </row>
    <row r="436" spans="1:20" x14ac:dyDescent="0.25">
      <c r="A436" t="s">
        <v>20</v>
      </c>
      <c r="B436" t="s">
        <v>967</v>
      </c>
      <c r="C436" s="1">
        <v>45715</v>
      </c>
      <c r="D436" t="s">
        <v>968</v>
      </c>
      <c r="E436" t="s">
        <v>94</v>
      </c>
      <c r="F436" t="s">
        <v>55</v>
      </c>
      <c r="G436">
        <v>43</v>
      </c>
      <c r="H436" t="s">
        <v>95</v>
      </c>
      <c r="I436" t="s">
        <v>26</v>
      </c>
      <c r="J436" t="s">
        <v>27</v>
      </c>
      <c r="K436" t="s">
        <v>58</v>
      </c>
      <c r="L436">
        <v>1</v>
      </c>
      <c r="M436">
        <v>95000</v>
      </c>
      <c r="N436">
        <v>7</v>
      </c>
      <c r="O436">
        <v>88350</v>
      </c>
      <c r="P436">
        <v>7352.11</v>
      </c>
      <c r="Q436" t="s">
        <v>86</v>
      </c>
      <c r="R436" t="s">
        <v>38</v>
      </c>
      <c r="S436" t="s">
        <v>39</v>
      </c>
      <c r="T436" t="s">
        <v>32</v>
      </c>
    </row>
    <row r="437" spans="1:20" x14ac:dyDescent="0.25">
      <c r="A437" t="s">
        <v>20</v>
      </c>
      <c r="B437" t="s">
        <v>969</v>
      </c>
      <c r="C437" s="1">
        <v>46112</v>
      </c>
      <c r="D437" t="s">
        <v>970</v>
      </c>
      <c r="E437" t="s">
        <v>35</v>
      </c>
      <c r="F437" t="s">
        <v>24</v>
      </c>
      <c r="G437">
        <v>46</v>
      </c>
      <c r="H437" t="s">
        <v>56</v>
      </c>
      <c r="I437" t="s">
        <v>26</v>
      </c>
      <c r="J437" t="s">
        <v>104</v>
      </c>
      <c r="K437" t="s">
        <v>68</v>
      </c>
      <c r="L437">
        <v>1</v>
      </c>
      <c r="M437">
        <v>170000</v>
      </c>
      <c r="N437">
        <v>0</v>
      </c>
      <c r="O437">
        <v>158100</v>
      </c>
      <c r="P437">
        <v>23712.99</v>
      </c>
      <c r="Q437" t="s">
        <v>59</v>
      </c>
      <c r="R437" t="s">
        <v>38</v>
      </c>
      <c r="S437" t="s">
        <v>31</v>
      </c>
      <c r="T437" t="s">
        <v>32</v>
      </c>
    </row>
    <row r="438" spans="1:20" x14ac:dyDescent="0.25">
      <c r="A438" t="s">
        <v>20</v>
      </c>
      <c r="B438" t="s">
        <v>971</v>
      </c>
      <c r="C438" s="1">
        <v>46262</v>
      </c>
      <c r="D438" t="s">
        <v>972</v>
      </c>
      <c r="E438" t="s">
        <v>23</v>
      </c>
      <c r="F438" t="s">
        <v>55</v>
      </c>
      <c r="G438">
        <v>44</v>
      </c>
      <c r="H438" t="s">
        <v>44</v>
      </c>
      <c r="I438" t="s">
        <v>26</v>
      </c>
      <c r="J438" t="s">
        <v>45</v>
      </c>
      <c r="K438" t="s">
        <v>58</v>
      </c>
      <c r="L438">
        <v>1</v>
      </c>
      <c r="M438">
        <v>99000</v>
      </c>
      <c r="N438">
        <v>3</v>
      </c>
      <c r="O438">
        <v>96030</v>
      </c>
      <c r="P438">
        <v>18024.54</v>
      </c>
      <c r="Q438" t="s">
        <v>74</v>
      </c>
      <c r="R438" t="s">
        <v>38</v>
      </c>
      <c r="S438" t="s">
        <v>31</v>
      </c>
      <c r="T438" t="s">
        <v>40</v>
      </c>
    </row>
    <row r="439" spans="1:20" x14ac:dyDescent="0.25">
      <c r="A439" t="s">
        <v>20</v>
      </c>
      <c r="B439" t="s">
        <v>973</v>
      </c>
      <c r="C439" s="1">
        <v>45701</v>
      </c>
      <c r="D439" t="s">
        <v>974</v>
      </c>
      <c r="E439" t="s">
        <v>738</v>
      </c>
      <c r="F439" t="s">
        <v>24</v>
      </c>
      <c r="G439">
        <v>39</v>
      </c>
      <c r="H439" t="s">
        <v>73</v>
      </c>
      <c r="I439" t="s">
        <v>26</v>
      </c>
      <c r="J439" t="s">
        <v>81</v>
      </c>
      <c r="K439" t="s">
        <v>58</v>
      </c>
      <c r="L439">
        <v>1</v>
      </c>
      <c r="M439">
        <v>235000</v>
      </c>
      <c r="N439">
        <v>3</v>
      </c>
      <c r="O439">
        <v>227950</v>
      </c>
      <c r="P439">
        <v>29030.95</v>
      </c>
      <c r="Q439" t="s">
        <v>52</v>
      </c>
      <c r="R439" t="s">
        <v>30</v>
      </c>
      <c r="S439" t="s">
        <v>69</v>
      </c>
      <c r="T439" t="s">
        <v>32</v>
      </c>
    </row>
    <row r="440" spans="1:20" x14ac:dyDescent="0.25">
      <c r="A440" t="s">
        <v>20</v>
      </c>
      <c r="B440" t="s">
        <v>975</v>
      </c>
      <c r="C440" s="1">
        <v>45952</v>
      </c>
      <c r="D440" t="s">
        <v>976</v>
      </c>
      <c r="E440" t="s">
        <v>129</v>
      </c>
      <c r="F440" t="s">
        <v>24</v>
      </c>
      <c r="G440">
        <v>46</v>
      </c>
      <c r="H440" t="s">
        <v>51</v>
      </c>
      <c r="I440" t="s">
        <v>26</v>
      </c>
      <c r="J440" t="s">
        <v>104</v>
      </c>
      <c r="K440" t="s">
        <v>68</v>
      </c>
      <c r="L440">
        <v>2</v>
      </c>
      <c r="M440">
        <v>172000</v>
      </c>
      <c r="N440">
        <v>5</v>
      </c>
      <c r="O440">
        <v>326800</v>
      </c>
      <c r="P440">
        <v>53353.98</v>
      </c>
      <c r="Q440" t="s">
        <v>105</v>
      </c>
      <c r="R440" t="s">
        <v>30</v>
      </c>
      <c r="S440" t="s">
        <v>39</v>
      </c>
      <c r="T440" t="s">
        <v>40</v>
      </c>
    </row>
    <row r="441" spans="1:20" x14ac:dyDescent="0.25">
      <c r="A441" t="s">
        <v>20</v>
      </c>
      <c r="B441" t="s">
        <v>977</v>
      </c>
      <c r="C441" s="1">
        <v>46145</v>
      </c>
      <c r="D441" t="s">
        <v>978</v>
      </c>
      <c r="E441" t="s">
        <v>43</v>
      </c>
      <c r="F441" t="s">
        <v>55</v>
      </c>
      <c r="G441">
        <v>27</v>
      </c>
      <c r="H441" t="s">
        <v>56</v>
      </c>
      <c r="I441" t="s">
        <v>26</v>
      </c>
      <c r="J441" t="s">
        <v>27</v>
      </c>
      <c r="K441" t="s">
        <v>101</v>
      </c>
      <c r="L441">
        <v>1</v>
      </c>
      <c r="M441">
        <v>96000</v>
      </c>
      <c r="N441">
        <v>5</v>
      </c>
      <c r="O441">
        <v>91200</v>
      </c>
      <c r="P441">
        <v>6316.66</v>
      </c>
      <c r="Q441" t="s">
        <v>37</v>
      </c>
      <c r="R441" t="s">
        <v>30</v>
      </c>
      <c r="S441" t="s">
        <v>31</v>
      </c>
      <c r="T441" t="s">
        <v>40</v>
      </c>
    </row>
    <row r="442" spans="1:20" x14ac:dyDescent="0.25">
      <c r="A442" t="s">
        <v>20</v>
      </c>
      <c r="B442" t="s">
        <v>979</v>
      </c>
      <c r="C442" s="1">
        <v>46022</v>
      </c>
      <c r="D442" t="s">
        <v>980</v>
      </c>
      <c r="E442" t="s">
        <v>72</v>
      </c>
      <c r="F442" t="s">
        <v>24</v>
      </c>
      <c r="G442">
        <v>23</v>
      </c>
      <c r="H442" t="s">
        <v>73</v>
      </c>
      <c r="I442" t="s">
        <v>26</v>
      </c>
      <c r="J442" t="s">
        <v>57</v>
      </c>
      <c r="K442" t="s">
        <v>28</v>
      </c>
      <c r="L442">
        <v>1</v>
      </c>
      <c r="M442">
        <v>173000</v>
      </c>
      <c r="N442">
        <v>3</v>
      </c>
      <c r="O442">
        <v>167810</v>
      </c>
      <c r="P442">
        <v>25372.25</v>
      </c>
      <c r="Q442" t="s">
        <v>52</v>
      </c>
      <c r="R442" t="s">
        <v>96</v>
      </c>
      <c r="S442" t="s">
        <v>69</v>
      </c>
      <c r="T442" t="s">
        <v>32</v>
      </c>
    </row>
    <row r="443" spans="1:20" x14ac:dyDescent="0.25">
      <c r="A443" t="s">
        <v>20</v>
      </c>
      <c r="B443" t="s">
        <v>981</v>
      </c>
      <c r="C443" s="1">
        <v>46029</v>
      </c>
      <c r="D443" t="s">
        <v>982</v>
      </c>
      <c r="E443" t="s">
        <v>43</v>
      </c>
      <c r="F443" t="s">
        <v>55</v>
      </c>
      <c r="G443">
        <v>26</v>
      </c>
      <c r="H443" t="s">
        <v>56</v>
      </c>
      <c r="I443" t="s">
        <v>26</v>
      </c>
      <c r="J443" t="s">
        <v>36</v>
      </c>
      <c r="K443" t="s">
        <v>28</v>
      </c>
      <c r="L443">
        <v>2</v>
      </c>
      <c r="M443">
        <v>117000</v>
      </c>
      <c r="N443">
        <v>3</v>
      </c>
      <c r="O443">
        <v>226980</v>
      </c>
      <c r="P443">
        <v>36837.43</v>
      </c>
      <c r="Q443" t="s">
        <v>37</v>
      </c>
      <c r="R443" t="s">
        <v>60</v>
      </c>
      <c r="S443" t="s">
        <v>39</v>
      </c>
      <c r="T443" t="s">
        <v>40</v>
      </c>
    </row>
    <row r="444" spans="1:20" x14ac:dyDescent="0.25">
      <c r="A444" t="s">
        <v>20</v>
      </c>
      <c r="B444" t="s">
        <v>983</v>
      </c>
      <c r="C444" s="1">
        <v>46173</v>
      </c>
      <c r="D444" t="s">
        <v>984</v>
      </c>
      <c r="E444" t="s">
        <v>50</v>
      </c>
      <c r="F444" t="s">
        <v>55</v>
      </c>
      <c r="G444">
        <v>34</v>
      </c>
      <c r="H444" t="s">
        <v>56</v>
      </c>
      <c r="I444" t="s">
        <v>26</v>
      </c>
      <c r="J444" t="s">
        <v>121</v>
      </c>
      <c r="K444" t="s">
        <v>58</v>
      </c>
      <c r="L444">
        <v>2</v>
      </c>
      <c r="M444">
        <v>194000</v>
      </c>
      <c r="N444">
        <v>0</v>
      </c>
      <c r="O444">
        <v>388000</v>
      </c>
      <c r="P444">
        <v>75215.679999999993</v>
      </c>
      <c r="Q444" t="s">
        <v>46</v>
      </c>
      <c r="R444" t="s">
        <v>30</v>
      </c>
      <c r="S444" t="s">
        <v>69</v>
      </c>
      <c r="T444" t="s">
        <v>32</v>
      </c>
    </row>
    <row r="445" spans="1:20" x14ac:dyDescent="0.25">
      <c r="A445" t="s">
        <v>20</v>
      </c>
      <c r="B445" t="s">
        <v>985</v>
      </c>
      <c r="C445" s="1">
        <v>46110</v>
      </c>
      <c r="D445" t="s">
        <v>986</v>
      </c>
      <c r="E445" t="s">
        <v>43</v>
      </c>
      <c r="F445" t="s">
        <v>55</v>
      </c>
      <c r="G445">
        <v>53</v>
      </c>
      <c r="H445" t="s">
        <v>85</v>
      </c>
      <c r="I445" t="s">
        <v>26</v>
      </c>
      <c r="J445" t="s">
        <v>118</v>
      </c>
      <c r="K445" t="s">
        <v>101</v>
      </c>
      <c r="L445">
        <v>1</v>
      </c>
      <c r="M445">
        <v>87000</v>
      </c>
      <c r="N445">
        <v>3</v>
      </c>
      <c r="O445">
        <v>84390</v>
      </c>
      <c r="P445">
        <v>15078.69</v>
      </c>
      <c r="Q445" t="s">
        <v>105</v>
      </c>
      <c r="R445" t="s">
        <v>30</v>
      </c>
      <c r="S445" t="s">
        <v>31</v>
      </c>
      <c r="T445" t="s">
        <v>32</v>
      </c>
    </row>
    <row r="446" spans="1:20" x14ac:dyDescent="0.25">
      <c r="A446" t="s">
        <v>20</v>
      </c>
      <c r="B446" t="s">
        <v>987</v>
      </c>
      <c r="C446" s="1">
        <v>46093</v>
      </c>
      <c r="D446" t="s">
        <v>988</v>
      </c>
      <c r="E446" t="s">
        <v>23</v>
      </c>
      <c r="F446" t="s">
        <v>55</v>
      </c>
      <c r="G446">
        <v>27</v>
      </c>
      <c r="H446" t="s">
        <v>44</v>
      </c>
      <c r="I446" t="s">
        <v>26</v>
      </c>
      <c r="J446" t="s">
        <v>45</v>
      </c>
      <c r="K446" t="s">
        <v>58</v>
      </c>
      <c r="L446">
        <v>1</v>
      </c>
      <c r="M446">
        <v>97000</v>
      </c>
      <c r="N446">
        <v>2</v>
      </c>
      <c r="O446">
        <v>95060</v>
      </c>
      <c r="P446">
        <v>7979.88</v>
      </c>
      <c r="Q446" t="s">
        <v>59</v>
      </c>
      <c r="R446" t="s">
        <v>126</v>
      </c>
      <c r="S446" t="s">
        <v>31</v>
      </c>
      <c r="T446" t="s">
        <v>32</v>
      </c>
    </row>
    <row r="447" spans="1:20" x14ac:dyDescent="0.25">
      <c r="A447" t="s">
        <v>20</v>
      </c>
      <c r="B447" t="s">
        <v>989</v>
      </c>
      <c r="C447" s="1">
        <v>45668</v>
      </c>
      <c r="D447" t="s">
        <v>990</v>
      </c>
      <c r="E447" t="s">
        <v>23</v>
      </c>
      <c r="F447" t="s">
        <v>55</v>
      </c>
      <c r="G447">
        <v>26</v>
      </c>
      <c r="H447" t="s">
        <v>25</v>
      </c>
      <c r="I447" t="s">
        <v>26</v>
      </c>
      <c r="J447" t="s">
        <v>118</v>
      </c>
      <c r="K447" t="s">
        <v>68</v>
      </c>
      <c r="L447">
        <v>1</v>
      </c>
      <c r="M447">
        <v>85000</v>
      </c>
      <c r="N447">
        <v>0</v>
      </c>
      <c r="O447">
        <v>85000</v>
      </c>
      <c r="P447">
        <v>18024.28</v>
      </c>
      <c r="Q447" t="s">
        <v>37</v>
      </c>
      <c r="R447" t="s">
        <v>60</v>
      </c>
      <c r="S447" t="s">
        <v>69</v>
      </c>
      <c r="T447" t="s">
        <v>32</v>
      </c>
    </row>
    <row r="448" spans="1:20" x14ac:dyDescent="0.25">
      <c r="A448" t="s">
        <v>20</v>
      </c>
      <c r="B448" t="s">
        <v>991</v>
      </c>
      <c r="C448" s="1">
        <v>46170</v>
      </c>
      <c r="D448" t="s">
        <v>992</v>
      </c>
      <c r="E448" t="s">
        <v>23</v>
      </c>
      <c r="F448" t="s">
        <v>55</v>
      </c>
      <c r="G448">
        <v>35</v>
      </c>
      <c r="H448" t="s">
        <v>51</v>
      </c>
      <c r="I448" t="s">
        <v>26</v>
      </c>
      <c r="J448" t="s">
        <v>45</v>
      </c>
      <c r="K448" t="s">
        <v>28</v>
      </c>
      <c r="L448">
        <v>2</v>
      </c>
      <c r="M448">
        <v>98000</v>
      </c>
      <c r="N448">
        <v>3</v>
      </c>
      <c r="O448">
        <v>190120</v>
      </c>
      <c r="P448">
        <v>33463.69</v>
      </c>
      <c r="Q448" t="s">
        <v>52</v>
      </c>
      <c r="R448" t="s">
        <v>96</v>
      </c>
      <c r="S448" t="s">
        <v>39</v>
      </c>
      <c r="T448" t="s">
        <v>32</v>
      </c>
    </row>
    <row r="449" spans="1:20" x14ac:dyDescent="0.25">
      <c r="A449" t="s">
        <v>20</v>
      </c>
      <c r="B449" t="s">
        <v>993</v>
      </c>
      <c r="C449" s="1">
        <v>46144</v>
      </c>
      <c r="D449" t="s">
        <v>994</v>
      </c>
      <c r="E449" t="s">
        <v>134</v>
      </c>
      <c r="F449" t="s">
        <v>24</v>
      </c>
      <c r="G449">
        <v>43</v>
      </c>
      <c r="H449" t="s">
        <v>25</v>
      </c>
      <c r="I449" t="s">
        <v>26</v>
      </c>
      <c r="J449" t="s">
        <v>36</v>
      </c>
      <c r="K449" t="s">
        <v>28</v>
      </c>
      <c r="L449">
        <v>2</v>
      </c>
      <c r="M449">
        <v>113000</v>
      </c>
      <c r="N449">
        <v>2</v>
      </c>
      <c r="O449">
        <v>221480</v>
      </c>
      <c r="P449">
        <v>20236.66</v>
      </c>
      <c r="Q449" t="s">
        <v>37</v>
      </c>
      <c r="R449" t="s">
        <v>60</v>
      </c>
      <c r="S449" t="s">
        <v>47</v>
      </c>
      <c r="T449" t="s">
        <v>40</v>
      </c>
    </row>
    <row r="450" spans="1:20" x14ac:dyDescent="0.25">
      <c r="A450" t="s">
        <v>20</v>
      </c>
      <c r="B450" t="s">
        <v>995</v>
      </c>
      <c r="C450" s="1">
        <v>46190</v>
      </c>
      <c r="D450" t="s">
        <v>996</v>
      </c>
      <c r="E450" t="s">
        <v>35</v>
      </c>
      <c r="F450" t="s">
        <v>24</v>
      </c>
      <c r="G450">
        <v>28</v>
      </c>
      <c r="H450" t="s">
        <v>44</v>
      </c>
      <c r="I450" t="s">
        <v>26</v>
      </c>
      <c r="J450" t="s">
        <v>111</v>
      </c>
      <c r="K450" t="s">
        <v>101</v>
      </c>
      <c r="L450">
        <v>1</v>
      </c>
      <c r="M450">
        <v>125000</v>
      </c>
      <c r="N450">
        <v>0</v>
      </c>
      <c r="O450">
        <v>125000</v>
      </c>
      <c r="P450">
        <v>20511.47</v>
      </c>
      <c r="Q450" t="s">
        <v>105</v>
      </c>
      <c r="R450" t="s">
        <v>30</v>
      </c>
      <c r="S450" t="s">
        <v>39</v>
      </c>
      <c r="T450" t="s">
        <v>40</v>
      </c>
    </row>
    <row r="451" spans="1:20" x14ac:dyDescent="0.25">
      <c r="A451" t="s">
        <v>20</v>
      </c>
      <c r="B451" t="s">
        <v>997</v>
      </c>
      <c r="C451" s="1">
        <v>46112</v>
      </c>
      <c r="D451" t="s">
        <v>998</v>
      </c>
      <c r="E451" t="s">
        <v>94</v>
      </c>
      <c r="F451" t="s">
        <v>24</v>
      </c>
      <c r="G451">
        <v>0</v>
      </c>
      <c r="H451" t="s">
        <v>95</v>
      </c>
      <c r="I451" t="s">
        <v>26</v>
      </c>
      <c r="J451" t="s">
        <v>27</v>
      </c>
      <c r="K451" t="s">
        <v>58</v>
      </c>
      <c r="L451">
        <v>1</v>
      </c>
      <c r="M451">
        <v>96000</v>
      </c>
      <c r="N451">
        <v>10</v>
      </c>
      <c r="O451">
        <v>86400</v>
      </c>
      <c r="P451">
        <v>7925.68</v>
      </c>
      <c r="Q451" t="s">
        <v>52</v>
      </c>
      <c r="R451" t="s">
        <v>30</v>
      </c>
      <c r="S451" t="s">
        <v>47</v>
      </c>
      <c r="T451" t="s">
        <v>40</v>
      </c>
    </row>
    <row r="452" spans="1:20" x14ac:dyDescent="0.25">
      <c r="A452" t="s">
        <v>20</v>
      </c>
      <c r="B452" t="s">
        <v>999</v>
      </c>
      <c r="C452" s="1">
        <v>46106</v>
      </c>
      <c r="D452" t="s">
        <v>1000</v>
      </c>
      <c r="E452" t="s">
        <v>23</v>
      </c>
      <c r="F452" t="s">
        <v>55</v>
      </c>
      <c r="G452">
        <v>53</v>
      </c>
      <c r="H452" t="s">
        <v>25</v>
      </c>
      <c r="I452" t="s">
        <v>26</v>
      </c>
      <c r="J452" t="s">
        <v>45</v>
      </c>
      <c r="K452" t="s">
        <v>68</v>
      </c>
      <c r="L452">
        <v>3</v>
      </c>
      <c r="M452">
        <v>98000</v>
      </c>
      <c r="N452">
        <v>10</v>
      </c>
      <c r="O452">
        <v>264600</v>
      </c>
      <c r="P452">
        <v>31569.54</v>
      </c>
      <c r="Q452" t="s">
        <v>59</v>
      </c>
      <c r="R452" t="s">
        <v>38</v>
      </c>
      <c r="S452" t="s">
        <v>61</v>
      </c>
      <c r="T452" t="s">
        <v>32</v>
      </c>
    </row>
    <row r="453" spans="1:20" x14ac:dyDescent="0.25">
      <c r="A453" t="s">
        <v>20</v>
      </c>
      <c r="B453" t="s">
        <v>1001</v>
      </c>
      <c r="C453" s="1">
        <v>46071</v>
      </c>
      <c r="D453" t="s">
        <v>1002</v>
      </c>
      <c r="E453" t="s">
        <v>50</v>
      </c>
      <c r="F453" t="s">
        <v>24</v>
      </c>
      <c r="G453">
        <v>27</v>
      </c>
      <c r="H453" t="s">
        <v>108</v>
      </c>
      <c r="I453" t="s">
        <v>26</v>
      </c>
      <c r="J453" t="s">
        <v>45</v>
      </c>
      <c r="K453" t="s">
        <v>58</v>
      </c>
      <c r="L453">
        <v>1</v>
      </c>
      <c r="M453">
        <v>97000</v>
      </c>
      <c r="N453">
        <v>3</v>
      </c>
      <c r="O453">
        <v>94090</v>
      </c>
      <c r="P453">
        <v>16098.93</v>
      </c>
      <c r="Q453" t="s">
        <v>74</v>
      </c>
      <c r="R453" t="s">
        <v>60</v>
      </c>
      <c r="S453" t="s">
        <v>61</v>
      </c>
      <c r="T453" t="s">
        <v>40</v>
      </c>
    </row>
    <row r="454" spans="1:20" x14ac:dyDescent="0.25">
      <c r="A454" t="s">
        <v>20</v>
      </c>
      <c r="B454" t="s">
        <v>1003</v>
      </c>
      <c r="C454" s="1">
        <v>45808</v>
      </c>
      <c r="D454" t="s">
        <v>1004</v>
      </c>
      <c r="E454" t="s">
        <v>270</v>
      </c>
      <c r="F454" t="s">
        <v>55</v>
      </c>
      <c r="G454">
        <v>49</v>
      </c>
      <c r="H454" t="s">
        <v>85</v>
      </c>
      <c r="I454" t="s">
        <v>26</v>
      </c>
      <c r="J454" t="s">
        <v>213</v>
      </c>
      <c r="K454" t="s">
        <v>101</v>
      </c>
      <c r="L454">
        <v>1</v>
      </c>
      <c r="M454">
        <v>125000</v>
      </c>
      <c r="N454">
        <v>5</v>
      </c>
      <c r="O454">
        <v>118750</v>
      </c>
      <c r="P454">
        <v>13578.78</v>
      </c>
      <c r="Q454" t="s">
        <v>46</v>
      </c>
      <c r="R454" t="s">
        <v>38</v>
      </c>
      <c r="S454" t="s">
        <v>31</v>
      </c>
      <c r="T454" t="s">
        <v>32</v>
      </c>
    </row>
    <row r="455" spans="1:20" x14ac:dyDescent="0.25">
      <c r="A455" t="s">
        <v>20</v>
      </c>
      <c r="B455" t="s">
        <v>1005</v>
      </c>
      <c r="C455" s="1">
        <v>45841</v>
      </c>
      <c r="D455" t="s">
        <v>1006</v>
      </c>
      <c r="E455" t="s">
        <v>43</v>
      </c>
      <c r="F455" t="s">
        <v>55</v>
      </c>
      <c r="G455">
        <v>44</v>
      </c>
      <c r="H455" t="s">
        <v>108</v>
      </c>
      <c r="I455" t="s">
        <v>26</v>
      </c>
      <c r="J455" t="s">
        <v>118</v>
      </c>
      <c r="K455" t="s">
        <v>101</v>
      </c>
      <c r="L455">
        <v>1</v>
      </c>
      <c r="M455">
        <v>83000</v>
      </c>
      <c r="N455">
        <v>5</v>
      </c>
      <c r="O455">
        <v>78850</v>
      </c>
      <c r="P455">
        <v>7356.05</v>
      </c>
      <c r="Q455" t="s">
        <v>82</v>
      </c>
      <c r="R455" t="s">
        <v>30</v>
      </c>
      <c r="S455" t="s">
        <v>61</v>
      </c>
      <c r="T455" t="s">
        <v>40</v>
      </c>
    </row>
    <row r="456" spans="1:20" x14ac:dyDescent="0.25">
      <c r="A456" t="s">
        <v>20</v>
      </c>
      <c r="B456" t="s">
        <v>1007</v>
      </c>
      <c r="C456" s="1">
        <v>46213</v>
      </c>
      <c r="D456" t="s">
        <v>1008</v>
      </c>
      <c r="E456" t="s">
        <v>80</v>
      </c>
      <c r="F456" t="s">
        <v>55</v>
      </c>
      <c r="G456">
        <v>0</v>
      </c>
      <c r="H456" t="s">
        <v>44</v>
      </c>
      <c r="I456" t="s">
        <v>26</v>
      </c>
      <c r="J456" t="s">
        <v>57</v>
      </c>
      <c r="K456" t="s">
        <v>58</v>
      </c>
      <c r="L456">
        <v>1</v>
      </c>
      <c r="M456">
        <v>175000</v>
      </c>
      <c r="N456">
        <v>5</v>
      </c>
      <c r="O456">
        <v>166250</v>
      </c>
      <c r="P456">
        <v>19149.310000000001</v>
      </c>
      <c r="Q456" t="s">
        <v>82</v>
      </c>
      <c r="R456" t="s">
        <v>38</v>
      </c>
      <c r="S456" t="s">
        <v>47</v>
      </c>
      <c r="T456" t="s">
        <v>40</v>
      </c>
    </row>
    <row r="457" spans="1:20" x14ac:dyDescent="0.25">
      <c r="A457" t="s">
        <v>20</v>
      </c>
      <c r="B457" t="s">
        <v>1009</v>
      </c>
      <c r="C457" s="1">
        <v>45968</v>
      </c>
      <c r="D457" t="s">
        <v>1010</v>
      </c>
      <c r="E457" t="s">
        <v>35</v>
      </c>
      <c r="F457" t="s">
        <v>24</v>
      </c>
      <c r="G457">
        <v>30</v>
      </c>
      <c r="H457" t="s">
        <v>85</v>
      </c>
      <c r="I457" t="s">
        <v>26</v>
      </c>
      <c r="J457" t="s">
        <v>77</v>
      </c>
      <c r="K457" t="s">
        <v>68</v>
      </c>
      <c r="L457">
        <v>0</v>
      </c>
      <c r="M457">
        <v>193000</v>
      </c>
      <c r="N457">
        <v>2</v>
      </c>
      <c r="O457">
        <v>189140</v>
      </c>
      <c r="P457">
        <v>25707.599999999999</v>
      </c>
      <c r="Q457" t="s">
        <v>74</v>
      </c>
      <c r="R457" t="s">
        <v>38</v>
      </c>
      <c r="S457" t="s">
        <v>47</v>
      </c>
      <c r="T457" t="s">
        <v>32</v>
      </c>
    </row>
    <row r="458" spans="1:20" x14ac:dyDescent="0.25">
      <c r="A458" t="s">
        <v>20</v>
      </c>
      <c r="B458" t="s">
        <v>1011</v>
      </c>
      <c r="C458" s="1">
        <v>46145</v>
      </c>
      <c r="D458" t="s">
        <v>1012</v>
      </c>
      <c r="E458" t="s">
        <v>129</v>
      </c>
      <c r="F458" t="s">
        <v>55</v>
      </c>
      <c r="G458">
        <v>55</v>
      </c>
      <c r="H458" t="s">
        <v>85</v>
      </c>
      <c r="I458" t="s">
        <v>26</v>
      </c>
      <c r="J458" t="s">
        <v>81</v>
      </c>
      <c r="K458" t="s">
        <v>58</v>
      </c>
      <c r="L458">
        <v>1</v>
      </c>
      <c r="M458">
        <v>237000</v>
      </c>
      <c r="N458">
        <v>7</v>
      </c>
      <c r="O458">
        <v>220410</v>
      </c>
      <c r="P458">
        <v>19276.34</v>
      </c>
      <c r="Q458" t="s">
        <v>74</v>
      </c>
      <c r="R458" t="s">
        <v>38</v>
      </c>
      <c r="S458" t="s">
        <v>87</v>
      </c>
      <c r="T458" t="s">
        <v>40</v>
      </c>
    </row>
    <row r="459" spans="1:20" x14ac:dyDescent="0.25">
      <c r="A459" t="s">
        <v>20</v>
      </c>
      <c r="B459" t="s">
        <v>1013</v>
      </c>
      <c r="C459" s="1">
        <v>46262</v>
      </c>
      <c r="D459" t="s">
        <v>1014</v>
      </c>
      <c r="E459" t="s">
        <v>129</v>
      </c>
      <c r="F459" t="s">
        <v>24</v>
      </c>
      <c r="G459">
        <v>22</v>
      </c>
      <c r="H459" t="s">
        <v>56</v>
      </c>
      <c r="I459" t="s">
        <v>26</v>
      </c>
      <c r="J459" t="s">
        <v>81</v>
      </c>
      <c r="K459" t="s">
        <v>101</v>
      </c>
      <c r="L459">
        <v>1</v>
      </c>
      <c r="M459">
        <v>235000</v>
      </c>
      <c r="N459">
        <v>3</v>
      </c>
      <c r="O459">
        <v>227950</v>
      </c>
      <c r="P459">
        <v>42917.84</v>
      </c>
      <c r="Q459" t="s">
        <v>105</v>
      </c>
      <c r="R459" t="s">
        <v>60</v>
      </c>
      <c r="S459" t="s">
        <v>47</v>
      </c>
      <c r="T459" t="s">
        <v>32</v>
      </c>
    </row>
    <row r="460" spans="1:20" x14ac:dyDescent="0.25">
      <c r="A460" t="s">
        <v>20</v>
      </c>
      <c r="B460" t="s">
        <v>1015</v>
      </c>
      <c r="C460" s="1">
        <v>45908</v>
      </c>
      <c r="D460" t="s">
        <v>1016</v>
      </c>
      <c r="E460" t="s">
        <v>50</v>
      </c>
      <c r="F460" t="s">
        <v>24</v>
      </c>
      <c r="G460">
        <v>35</v>
      </c>
      <c r="H460" t="s">
        <v>56</v>
      </c>
      <c r="I460" t="s">
        <v>26</v>
      </c>
      <c r="J460" t="s">
        <v>77</v>
      </c>
      <c r="K460" t="s">
        <v>28</v>
      </c>
      <c r="L460">
        <v>3</v>
      </c>
      <c r="M460">
        <v>195000</v>
      </c>
      <c r="N460">
        <v>3</v>
      </c>
      <c r="O460">
        <v>567450</v>
      </c>
      <c r="P460">
        <v>107187.26</v>
      </c>
      <c r="Q460" t="s">
        <v>82</v>
      </c>
      <c r="R460" t="s">
        <v>60</v>
      </c>
      <c r="S460" t="s">
        <v>69</v>
      </c>
      <c r="T460" t="s">
        <v>40</v>
      </c>
    </row>
    <row r="461" spans="1:20" x14ac:dyDescent="0.25">
      <c r="A461" t="s">
        <v>20</v>
      </c>
      <c r="B461" t="s">
        <v>1017</v>
      </c>
      <c r="C461" s="1">
        <v>46090</v>
      </c>
      <c r="D461" t="s">
        <v>1018</v>
      </c>
      <c r="E461" t="s">
        <v>94</v>
      </c>
      <c r="F461" t="s">
        <v>24</v>
      </c>
      <c r="G461">
        <v>52</v>
      </c>
      <c r="H461" t="s">
        <v>25</v>
      </c>
      <c r="I461" t="s">
        <v>26</v>
      </c>
      <c r="J461" t="s">
        <v>45</v>
      </c>
      <c r="K461" t="s">
        <v>28</v>
      </c>
      <c r="L461">
        <v>1</v>
      </c>
      <c r="M461">
        <v>96000</v>
      </c>
      <c r="N461">
        <v>5</v>
      </c>
      <c r="O461">
        <v>91200</v>
      </c>
      <c r="P461">
        <v>8742.52</v>
      </c>
      <c r="Q461" t="s">
        <v>46</v>
      </c>
      <c r="R461" t="s">
        <v>30</v>
      </c>
      <c r="S461" t="s">
        <v>39</v>
      </c>
      <c r="T461" t="s">
        <v>40</v>
      </c>
    </row>
    <row r="462" spans="1:20" x14ac:dyDescent="0.25">
      <c r="A462" t="s">
        <v>20</v>
      </c>
      <c r="B462" t="s">
        <v>1019</v>
      </c>
      <c r="C462" s="1">
        <v>45868</v>
      </c>
      <c r="D462" t="s">
        <v>1020</v>
      </c>
      <c r="E462" t="s">
        <v>35</v>
      </c>
      <c r="F462" t="s">
        <v>24</v>
      </c>
      <c r="G462">
        <v>41</v>
      </c>
      <c r="H462" t="s">
        <v>95</v>
      </c>
      <c r="I462" t="s">
        <v>26</v>
      </c>
      <c r="J462" t="s">
        <v>81</v>
      </c>
      <c r="K462" t="s">
        <v>68</v>
      </c>
      <c r="L462">
        <v>1</v>
      </c>
      <c r="M462">
        <v>233000</v>
      </c>
      <c r="N462">
        <v>5</v>
      </c>
      <c r="O462">
        <v>221350</v>
      </c>
      <c r="P462">
        <v>36812.42</v>
      </c>
      <c r="Q462" t="s">
        <v>74</v>
      </c>
      <c r="R462" t="s">
        <v>60</v>
      </c>
      <c r="S462" t="s">
        <v>47</v>
      </c>
      <c r="T462" t="s">
        <v>32</v>
      </c>
    </row>
    <row r="463" spans="1:20" x14ac:dyDescent="0.25">
      <c r="A463" t="s">
        <v>20</v>
      </c>
      <c r="B463" t="s">
        <v>1021</v>
      </c>
      <c r="C463" s="1">
        <v>45706</v>
      </c>
      <c r="D463" t="s">
        <v>1022</v>
      </c>
      <c r="E463" t="s">
        <v>94</v>
      </c>
      <c r="F463" t="s">
        <v>55</v>
      </c>
      <c r="G463">
        <v>39</v>
      </c>
      <c r="H463" t="s">
        <v>108</v>
      </c>
      <c r="I463" t="s">
        <v>26</v>
      </c>
      <c r="J463" t="s">
        <v>57</v>
      </c>
      <c r="K463" t="s">
        <v>28</v>
      </c>
      <c r="L463">
        <v>1</v>
      </c>
      <c r="M463">
        <v>176000</v>
      </c>
      <c r="N463">
        <v>2</v>
      </c>
      <c r="O463">
        <v>172480</v>
      </c>
      <c r="P463">
        <v>29131.05</v>
      </c>
      <c r="Q463" t="s">
        <v>82</v>
      </c>
      <c r="R463" t="s">
        <v>60</v>
      </c>
      <c r="S463" t="s">
        <v>39</v>
      </c>
      <c r="T463" t="s">
        <v>32</v>
      </c>
    </row>
    <row r="464" spans="1:20" x14ac:dyDescent="0.25">
      <c r="A464" t="s">
        <v>20</v>
      </c>
      <c r="B464" t="s">
        <v>1023</v>
      </c>
      <c r="C464" s="1">
        <v>45967</v>
      </c>
      <c r="D464" t="s">
        <v>1024</v>
      </c>
      <c r="E464" t="s">
        <v>72</v>
      </c>
      <c r="F464" t="s">
        <v>24</v>
      </c>
      <c r="G464">
        <v>52</v>
      </c>
      <c r="H464" t="s">
        <v>85</v>
      </c>
      <c r="I464" t="s">
        <v>26</v>
      </c>
      <c r="J464" t="s">
        <v>81</v>
      </c>
      <c r="K464" t="s">
        <v>101</v>
      </c>
      <c r="L464">
        <v>1</v>
      </c>
      <c r="M464">
        <v>235000</v>
      </c>
      <c r="N464">
        <v>0</v>
      </c>
      <c r="O464">
        <v>235000</v>
      </c>
      <c r="P464">
        <v>33326.660000000003</v>
      </c>
      <c r="Q464" t="s">
        <v>52</v>
      </c>
      <c r="R464" t="s">
        <v>38</v>
      </c>
      <c r="S464" t="s">
        <v>47</v>
      </c>
      <c r="T464" t="s">
        <v>40</v>
      </c>
    </row>
    <row r="465" spans="1:20" x14ac:dyDescent="0.25">
      <c r="A465" t="s">
        <v>20</v>
      </c>
      <c r="B465" t="s">
        <v>1025</v>
      </c>
      <c r="C465" s="1">
        <v>46186</v>
      </c>
      <c r="D465" t="s">
        <v>1026</v>
      </c>
      <c r="E465" t="s">
        <v>35</v>
      </c>
      <c r="F465" t="s">
        <v>55</v>
      </c>
      <c r="G465">
        <v>31</v>
      </c>
      <c r="H465" t="s">
        <v>85</v>
      </c>
      <c r="I465" t="s">
        <v>26</v>
      </c>
      <c r="J465" t="s">
        <v>81</v>
      </c>
      <c r="K465" t="s">
        <v>58</v>
      </c>
      <c r="L465">
        <v>1</v>
      </c>
      <c r="M465">
        <v>236000</v>
      </c>
      <c r="N465">
        <v>2</v>
      </c>
      <c r="O465">
        <v>231280</v>
      </c>
      <c r="P465">
        <v>22253.01</v>
      </c>
      <c r="Q465" t="s">
        <v>74</v>
      </c>
      <c r="R465" t="s">
        <v>38</v>
      </c>
      <c r="S465" t="s">
        <v>87</v>
      </c>
      <c r="T465" t="s">
        <v>32</v>
      </c>
    </row>
    <row r="466" spans="1:20" x14ac:dyDescent="0.25">
      <c r="A466" t="s">
        <v>20</v>
      </c>
      <c r="B466" t="s">
        <v>1027</v>
      </c>
      <c r="C466" s="1">
        <v>45965</v>
      </c>
      <c r="D466" t="s">
        <v>1028</v>
      </c>
      <c r="E466" t="s">
        <v>94</v>
      </c>
      <c r="F466" t="s">
        <v>24</v>
      </c>
      <c r="G466">
        <v>47</v>
      </c>
      <c r="H466" t="s">
        <v>44</v>
      </c>
      <c r="I466" t="s">
        <v>26</v>
      </c>
      <c r="J466" t="s">
        <v>36</v>
      </c>
      <c r="K466" t="s">
        <v>28</v>
      </c>
      <c r="L466">
        <v>1</v>
      </c>
      <c r="M466">
        <v>114000</v>
      </c>
      <c r="N466">
        <v>2</v>
      </c>
      <c r="O466">
        <v>111720</v>
      </c>
      <c r="P466">
        <v>20741.53</v>
      </c>
      <c r="Q466" t="s">
        <v>52</v>
      </c>
      <c r="R466" t="s">
        <v>38</v>
      </c>
      <c r="S466" t="s">
        <v>39</v>
      </c>
      <c r="T466" t="s">
        <v>40</v>
      </c>
    </row>
    <row r="467" spans="1:20" x14ac:dyDescent="0.25">
      <c r="A467" t="s">
        <v>20</v>
      </c>
      <c r="B467" t="s">
        <v>1029</v>
      </c>
      <c r="C467" s="1">
        <v>45811</v>
      </c>
      <c r="D467" t="s">
        <v>1030</v>
      </c>
      <c r="E467" t="s">
        <v>80</v>
      </c>
      <c r="F467" t="s">
        <v>55</v>
      </c>
      <c r="G467">
        <v>32</v>
      </c>
      <c r="H467" t="s">
        <v>51</v>
      </c>
      <c r="I467" t="s">
        <v>26</v>
      </c>
      <c r="J467" t="s">
        <v>45</v>
      </c>
      <c r="K467" t="s">
        <v>101</v>
      </c>
      <c r="L467">
        <v>1</v>
      </c>
      <c r="M467">
        <v>97000</v>
      </c>
      <c r="N467">
        <v>5</v>
      </c>
      <c r="O467">
        <v>92150</v>
      </c>
      <c r="P467">
        <v>13714.05</v>
      </c>
      <c r="Q467" t="s">
        <v>46</v>
      </c>
      <c r="R467" t="s">
        <v>38</v>
      </c>
      <c r="S467" t="s">
        <v>87</v>
      </c>
      <c r="T467" t="s">
        <v>40</v>
      </c>
    </row>
    <row r="468" spans="1:20" x14ac:dyDescent="0.25">
      <c r="A468" t="s">
        <v>20</v>
      </c>
      <c r="B468" t="s">
        <v>1031</v>
      </c>
      <c r="C468" s="1">
        <v>45942</v>
      </c>
      <c r="D468" t="s">
        <v>1032</v>
      </c>
      <c r="E468" t="s">
        <v>129</v>
      </c>
      <c r="F468" t="s">
        <v>55</v>
      </c>
      <c r="G468">
        <v>55</v>
      </c>
      <c r="H468" t="s">
        <v>25</v>
      </c>
      <c r="I468" t="s">
        <v>26</v>
      </c>
      <c r="J468" t="s">
        <v>77</v>
      </c>
      <c r="K468" t="s">
        <v>58</v>
      </c>
      <c r="L468">
        <v>1</v>
      </c>
      <c r="M468">
        <v>195000</v>
      </c>
      <c r="N468">
        <v>2</v>
      </c>
      <c r="O468">
        <v>191100</v>
      </c>
      <c r="P468">
        <v>38318.080000000002</v>
      </c>
      <c r="Q468" t="s">
        <v>105</v>
      </c>
      <c r="R468" t="s">
        <v>30</v>
      </c>
      <c r="S468" t="s">
        <v>69</v>
      </c>
      <c r="T468" t="s">
        <v>40</v>
      </c>
    </row>
    <row r="469" spans="1:20" x14ac:dyDescent="0.25">
      <c r="A469" t="s">
        <v>20</v>
      </c>
      <c r="B469" t="s">
        <v>1033</v>
      </c>
      <c r="C469" s="1">
        <v>45750</v>
      </c>
      <c r="D469" t="s">
        <v>1034</v>
      </c>
      <c r="E469" t="s">
        <v>129</v>
      </c>
      <c r="F469" t="s">
        <v>55</v>
      </c>
      <c r="G469">
        <v>45</v>
      </c>
      <c r="H469" t="s">
        <v>51</v>
      </c>
      <c r="I469" t="s">
        <v>26</v>
      </c>
      <c r="J469" t="s">
        <v>81</v>
      </c>
      <c r="K469" t="s">
        <v>28</v>
      </c>
      <c r="L469">
        <v>2</v>
      </c>
      <c r="M469">
        <v>235000</v>
      </c>
      <c r="N469">
        <v>3</v>
      </c>
      <c r="O469">
        <v>455900</v>
      </c>
      <c r="P469">
        <v>51417.7</v>
      </c>
      <c r="Q469" t="s">
        <v>82</v>
      </c>
      <c r="R469" t="s">
        <v>60</v>
      </c>
      <c r="S469" t="s">
        <v>47</v>
      </c>
      <c r="T469" t="s">
        <v>32</v>
      </c>
    </row>
    <row r="470" spans="1:20" x14ac:dyDescent="0.25">
      <c r="A470" t="s">
        <v>20</v>
      </c>
      <c r="B470" t="s">
        <v>1035</v>
      </c>
      <c r="C470" s="1">
        <v>46057</v>
      </c>
      <c r="D470" t="s">
        <v>1036</v>
      </c>
      <c r="E470" t="s">
        <v>94</v>
      </c>
      <c r="F470" t="s">
        <v>55</v>
      </c>
      <c r="G470">
        <v>35</v>
      </c>
      <c r="H470" t="s">
        <v>108</v>
      </c>
      <c r="I470" t="s">
        <v>26</v>
      </c>
      <c r="J470" t="s">
        <v>111</v>
      </c>
      <c r="K470" t="s">
        <v>68</v>
      </c>
      <c r="L470">
        <v>1</v>
      </c>
      <c r="M470">
        <v>125000</v>
      </c>
      <c r="N470">
        <v>0</v>
      </c>
      <c r="O470">
        <v>121250</v>
      </c>
      <c r="P470">
        <v>11264.99</v>
      </c>
      <c r="Q470" t="s">
        <v>82</v>
      </c>
      <c r="R470" t="s">
        <v>96</v>
      </c>
      <c r="S470" t="s">
        <v>31</v>
      </c>
      <c r="T470" t="s">
        <v>40</v>
      </c>
    </row>
    <row r="471" spans="1:20" x14ac:dyDescent="0.25">
      <c r="A471" t="s">
        <v>20</v>
      </c>
      <c r="B471" t="s">
        <v>1037</v>
      </c>
      <c r="C471" s="1">
        <v>46041</v>
      </c>
      <c r="D471" t="s">
        <v>1038</v>
      </c>
      <c r="E471" t="s">
        <v>43</v>
      </c>
      <c r="F471" t="s">
        <v>24</v>
      </c>
      <c r="G471">
        <v>5</v>
      </c>
      <c r="H471" t="s">
        <v>95</v>
      </c>
      <c r="I471" t="s">
        <v>26</v>
      </c>
      <c r="J471" t="s">
        <v>57</v>
      </c>
      <c r="K471" t="s">
        <v>58</v>
      </c>
      <c r="L471">
        <v>1</v>
      </c>
      <c r="M471">
        <v>176000</v>
      </c>
      <c r="N471">
        <v>0</v>
      </c>
      <c r="O471">
        <v>176000</v>
      </c>
      <c r="P471">
        <v>28363.63</v>
      </c>
      <c r="Q471" t="s">
        <v>52</v>
      </c>
      <c r="R471" t="s">
        <v>60</v>
      </c>
      <c r="S471" t="s">
        <v>31</v>
      </c>
      <c r="T471" t="s">
        <v>40</v>
      </c>
    </row>
    <row r="472" spans="1:20" x14ac:dyDescent="0.25">
      <c r="A472" t="s">
        <v>20</v>
      </c>
      <c r="B472" t="s">
        <v>1039</v>
      </c>
      <c r="C472" s="1">
        <v>46278</v>
      </c>
      <c r="D472" t="s">
        <v>1040</v>
      </c>
      <c r="E472" t="s">
        <v>80</v>
      </c>
      <c r="F472" t="s">
        <v>55</v>
      </c>
      <c r="G472">
        <v>22</v>
      </c>
      <c r="H472" t="s">
        <v>56</v>
      </c>
      <c r="I472" t="s">
        <v>26</v>
      </c>
      <c r="J472" t="s">
        <v>57</v>
      </c>
      <c r="K472" t="s">
        <v>101</v>
      </c>
      <c r="L472">
        <v>1</v>
      </c>
      <c r="M472">
        <v>173000</v>
      </c>
      <c r="N472">
        <v>10</v>
      </c>
      <c r="O472">
        <v>155700</v>
      </c>
      <c r="P472">
        <v>689.12</v>
      </c>
      <c r="Q472" t="s">
        <v>59</v>
      </c>
      <c r="R472" t="s">
        <v>60</v>
      </c>
      <c r="S472" t="s">
        <v>61</v>
      </c>
      <c r="T472" t="s">
        <v>40</v>
      </c>
    </row>
    <row r="473" spans="1:20" x14ac:dyDescent="0.25">
      <c r="A473" t="s">
        <v>20</v>
      </c>
      <c r="B473" t="s">
        <v>1041</v>
      </c>
      <c r="C473" s="1">
        <v>46060</v>
      </c>
      <c r="D473" t="s">
        <v>1042</v>
      </c>
      <c r="E473" t="s">
        <v>72</v>
      </c>
      <c r="F473" t="s">
        <v>55</v>
      </c>
      <c r="G473">
        <v>36</v>
      </c>
      <c r="H473" t="s">
        <v>67</v>
      </c>
      <c r="I473" t="s">
        <v>26</v>
      </c>
      <c r="J473" t="s">
        <v>27</v>
      </c>
      <c r="K473" t="s">
        <v>68</v>
      </c>
      <c r="L473">
        <v>2</v>
      </c>
      <c r="M473">
        <v>95000</v>
      </c>
      <c r="N473">
        <v>0</v>
      </c>
      <c r="O473">
        <v>190000</v>
      </c>
      <c r="P473">
        <v>21056.81</v>
      </c>
      <c r="Q473" t="s">
        <v>74</v>
      </c>
      <c r="R473" t="s">
        <v>96</v>
      </c>
      <c r="S473" t="s">
        <v>31</v>
      </c>
      <c r="T473" t="s">
        <v>40</v>
      </c>
    </row>
    <row r="474" spans="1:20" x14ac:dyDescent="0.25">
      <c r="A474" t="s">
        <v>20</v>
      </c>
      <c r="B474" t="s">
        <v>1043</v>
      </c>
      <c r="C474" s="1">
        <v>46161</v>
      </c>
      <c r="D474" t="s">
        <v>1044</v>
      </c>
      <c r="E474" t="s">
        <v>374</v>
      </c>
      <c r="F474" t="s">
        <v>24</v>
      </c>
      <c r="G474">
        <v>50</v>
      </c>
      <c r="H474" t="s">
        <v>95</v>
      </c>
      <c r="I474" t="s">
        <v>26</v>
      </c>
      <c r="J474" t="s">
        <v>64</v>
      </c>
      <c r="K474" t="s">
        <v>58</v>
      </c>
      <c r="L474">
        <v>1</v>
      </c>
      <c r="M474">
        <v>125000</v>
      </c>
      <c r="N474">
        <v>0</v>
      </c>
      <c r="O474">
        <v>125000</v>
      </c>
      <c r="P474">
        <v>15152.03</v>
      </c>
      <c r="Q474" t="s">
        <v>82</v>
      </c>
      <c r="R474" t="s">
        <v>96</v>
      </c>
      <c r="S474" t="s">
        <v>61</v>
      </c>
      <c r="T474" t="s">
        <v>40</v>
      </c>
    </row>
    <row r="475" spans="1:20" x14ac:dyDescent="0.25">
      <c r="A475" t="s">
        <v>20</v>
      </c>
      <c r="B475" t="s">
        <v>1045</v>
      </c>
      <c r="C475" s="1">
        <v>45992</v>
      </c>
      <c r="D475" t="s">
        <v>1046</v>
      </c>
      <c r="E475" t="s">
        <v>80</v>
      </c>
      <c r="F475" t="s">
        <v>55</v>
      </c>
      <c r="G475">
        <v>49</v>
      </c>
      <c r="H475" t="s">
        <v>197</v>
      </c>
      <c r="I475" t="s">
        <v>26</v>
      </c>
      <c r="J475" t="s">
        <v>36</v>
      </c>
      <c r="K475" t="s">
        <v>68</v>
      </c>
      <c r="L475">
        <v>1</v>
      </c>
      <c r="M475">
        <v>116000</v>
      </c>
      <c r="N475">
        <v>10</v>
      </c>
      <c r="O475">
        <v>104400</v>
      </c>
      <c r="P475">
        <v>2597.08</v>
      </c>
      <c r="Q475" t="s">
        <v>46</v>
      </c>
      <c r="R475" t="s">
        <v>96</v>
      </c>
      <c r="S475" t="s">
        <v>69</v>
      </c>
      <c r="T475" t="s">
        <v>40</v>
      </c>
    </row>
    <row r="476" spans="1:20" x14ac:dyDescent="0.25">
      <c r="A476" t="s">
        <v>20</v>
      </c>
      <c r="B476" t="s">
        <v>1047</v>
      </c>
      <c r="C476" s="1">
        <v>46186</v>
      </c>
      <c r="D476" t="s">
        <v>1048</v>
      </c>
      <c r="E476" t="s">
        <v>94</v>
      </c>
      <c r="F476" t="s">
        <v>24</v>
      </c>
      <c r="G476">
        <v>28</v>
      </c>
      <c r="H476" t="s">
        <v>51</v>
      </c>
      <c r="I476" t="s">
        <v>26</v>
      </c>
      <c r="J476" t="s">
        <v>111</v>
      </c>
      <c r="K476" t="s">
        <v>58</v>
      </c>
      <c r="L476">
        <v>1</v>
      </c>
      <c r="M476">
        <v>123000</v>
      </c>
      <c r="N476">
        <v>0</v>
      </c>
      <c r="O476">
        <v>123000</v>
      </c>
      <c r="P476">
        <v>24730.54</v>
      </c>
      <c r="Q476" t="s">
        <v>46</v>
      </c>
      <c r="R476" t="s">
        <v>96</v>
      </c>
      <c r="S476" t="s">
        <v>39</v>
      </c>
      <c r="T476" t="s">
        <v>32</v>
      </c>
    </row>
    <row r="477" spans="1:20" x14ac:dyDescent="0.25">
      <c r="A477" t="s">
        <v>20</v>
      </c>
      <c r="B477" t="s">
        <v>1049</v>
      </c>
      <c r="C477" s="1">
        <v>45844</v>
      </c>
      <c r="D477" t="s">
        <v>1050</v>
      </c>
      <c r="E477" t="s">
        <v>94</v>
      </c>
      <c r="F477" t="s">
        <v>55</v>
      </c>
      <c r="G477">
        <v>45</v>
      </c>
      <c r="H477" t="s">
        <v>56</v>
      </c>
      <c r="I477" t="s">
        <v>26</v>
      </c>
      <c r="J477" t="s">
        <v>81</v>
      </c>
      <c r="K477" t="s">
        <v>28</v>
      </c>
      <c r="L477">
        <v>1</v>
      </c>
      <c r="M477">
        <v>234000</v>
      </c>
      <c r="N477">
        <v>0</v>
      </c>
      <c r="O477">
        <v>234000</v>
      </c>
      <c r="P477">
        <v>39840.94</v>
      </c>
      <c r="Q477" t="s">
        <v>105</v>
      </c>
      <c r="R477" t="s">
        <v>96</v>
      </c>
      <c r="S477" t="s">
        <v>69</v>
      </c>
      <c r="T477" t="s">
        <v>40</v>
      </c>
    </row>
    <row r="478" spans="1:20" x14ac:dyDescent="0.25">
      <c r="A478" t="s">
        <v>20</v>
      </c>
      <c r="B478" t="s">
        <v>1051</v>
      </c>
      <c r="C478" s="1">
        <v>46097</v>
      </c>
      <c r="D478" t="s">
        <v>1052</v>
      </c>
      <c r="E478" t="s">
        <v>129</v>
      </c>
      <c r="F478" t="s">
        <v>55</v>
      </c>
      <c r="G478">
        <v>36</v>
      </c>
      <c r="H478" t="s">
        <v>51</v>
      </c>
      <c r="I478" t="s">
        <v>26</v>
      </c>
      <c r="J478" t="s">
        <v>111</v>
      </c>
      <c r="K478" t="s">
        <v>101</v>
      </c>
      <c r="L478">
        <v>1</v>
      </c>
      <c r="M478">
        <v>124000</v>
      </c>
      <c r="N478">
        <v>0</v>
      </c>
      <c r="O478">
        <v>124000</v>
      </c>
      <c r="P478">
        <v>21312.6</v>
      </c>
      <c r="Q478" t="s">
        <v>37</v>
      </c>
      <c r="R478" t="s">
        <v>30</v>
      </c>
      <c r="S478" t="s">
        <v>69</v>
      </c>
      <c r="T478" t="s">
        <v>40</v>
      </c>
    </row>
    <row r="479" spans="1:20" x14ac:dyDescent="0.25">
      <c r="A479" t="s">
        <v>20</v>
      </c>
      <c r="B479" t="s">
        <v>1053</v>
      </c>
      <c r="C479" s="1">
        <v>45930</v>
      </c>
      <c r="D479" t="s">
        <v>1054</v>
      </c>
      <c r="E479" t="s">
        <v>137</v>
      </c>
      <c r="F479" t="s">
        <v>24</v>
      </c>
      <c r="G479">
        <v>38</v>
      </c>
      <c r="H479" t="s">
        <v>85</v>
      </c>
      <c r="I479" t="s">
        <v>26</v>
      </c>
      <c r="J479" t="s">
        <v>57</v>
      </c>
      <c r="K479" t="s">
        <v>68</v>
      </c>
      <c r="L479">
        <v>1</v>
      </c>
      <c r="M479">
        <v>177000</v>
      </c>
      <c r="N479">
        <v>2</v>
      </c>
      <c r="O479">
        <v>173460</v>
      </c>
      <c r="P479">
        <v>31352.84</v>
      </c>
      <c r="Q479" t="s">
        <v>59</v>
      </c>
      <c r="R479" t="s">
        <v>96</v>
      </c>
      <c r="S479" t="s">
        <v>87</v>
      </c>
      <c r="T479" t="s">
        <v>32</v>
      </c>
    </row>
    <row r="480" spans="1:20" x14ac:dyDescent="0.25">
      <c r="A480" t="s">
        <v>20</v>
      </c>
      <c r="B480" t="s">
        <v>1055</v>
      </c>
      <c r="C480" s="1">
        <v>45926</v>
      </c>
      <c r="D480" t="s">
        <v>1056</v>
      </c>
      <c r="E480" t="s">
        <v>35</v>
      </c>
      <c r="F480" t="s">
        <v>55</v>
      </c>
      <c r="G480">
        <v>35</v>
      </c>
      <c r="H480" t="s">
        <v>44</v>
      </c>
      <c r="I480" t="s">
        <v>26</v>
      </c>
      <c r="J480" t="s">
        <v>104</v>
      </c>
      <c r="K480" t="s">
        <v>101</v>
      </c>
      <c r="L480">
        <v>1</v>
      </c>
      <c r="M480">
        <v>170000</v>
      </c>
      <c r="N480">
        <v>2</v>
      </c>
      <c r="O480">
        <v>166600</v>
      </c>
      <c r="P480">
        <v>33413.03</v>
      </c>
      <c r="Q480" t="s">
        <v>46</v>
      </c>
      <c r="R480" t="s">
        <v>30</v>
      </c>
      <c r="S480" t="s">
        <v>69</v>
      </c>
      <c r="T480" t="s">
        <v>40</v>
      </c>
    </row>
    <row r="481" spans="1:20" x14ac:dyDescent="0.25">
      <c r="A481" t="s">
        <v>20</v>
      </c>
      <c r="B481" t="s">
        <v>1057</v>
      </c>
      <c r="C481" s="1">
        <v>46050</v>
      </c>
      <c r="D481" t="s">
        <v>1058</v>
      </c>
      <c r="E481" t="s">
        <v>738</v>
      </c>
      <c r="F481" t="s">
        <v>55</v>
      </c>
      <c r="G481">
        <v>120</v>
      </c>
      <c r="H481" t="s">
        <v>56</v>
      </c>
      <c r="I481" t="s">
        <v>26</v>
      </c>
      <c r="J481" t="s">
        <v>45</v>
      </c>
      <c r="K481" t="s">
        <v>28</v>
      </c>
      <c r="L481">
        <v>2</v>
      </c>
      <c r="M481">
        <v>98000</v>
      </c>
      <c r="N481">
        <v>10</v>
      </c>
      <c r="O481">
        <v>176400</v>
      </c>
      <c r="P481">
        <v>18528.64</v>
      </c>
      <c r="Q481" t="s">
        <v>105</v>
      </c>
      <c r="R481" t="s">
        <v>30</v>
      </c>
      <c r="S481" t="s">
        <v>39</v>
      </c>
      <c r="T481" t="s">
        <v>32</v>
      </c>
    </row>
    <row r="482" spans="1:20" x14ac:dyDescent="0.25">
      <c r="A482" t="s">
        <v>20</v>
      </c>
      <c r="B482" t="s">
        <v>1059</v>
      </c>
      <c r="C482" s="1">
        <v>45704</v>
      </c>
      <c r="D482" t="s">
        <v>1060</v>
      </c>
      <c r="E482" t="s">
        <v>72</v>
      </c>
      <c r="F482" t="s">
        <v>24</v>
      </c>
      <c r="G482">
        <v>20</v>
      </c>
      <c r="H482" t="s">
        <v>56</v>
      </c>
      <c r="I482" t="s">
        <v>26</v>
      </c>
      <c r="J482" t="s">
        <v>57</v>
      </c>
      <c r="K482" t="s">
        <v>101</v>
      </c>
      <c r="L482">
        <v>3</v>
      </c>
      <c r="M482">
        <v>177000</v>
      </c>
      <c r="N482">
        <v>7</v>
      </c>
      <c r="O482">
        <v>493830</v>
      </c>
      <c r="P482">
        <v>34436.46</v>
      </c>
      <c r="Q482" t="s">
        <v>59</v>
      </c>
      <c r="R482" t="s">
        <v>60</v>
      </c>
      <c r="S482" t="s">
        <v>31</v>
      </c>
      <c r="T482" t="s">
        <v>32</v>
      </c>
    </row>
    <row r="483" spans="1:20" x14ac:dyDescent="0.25">
      <c r="A483" t="s">
        <v>20</v>
      </c>
      <c r="B483" t="s">
        <v>1061</v>
      </c>
      <c r="C483" s="1">
        <v>46137</v>
      </c>
      <c r="D483" t="s">
        <v>1062</v>
      </c>
      <c r="E483" t="s">
        <v>23</v>
      </c>
      <c r="F483" t="s">
        <v>24</v>
      </c>
      <c r="G483">
        <v>28</v>
      </c>
      <c r="H483" t="s">
        <v>73</v>
      </c>
      <c r="I483" t="s">
        <v>26</v>
      </c>
      <c r="J483" t="s">
        <v>81</v>
      </c>
      <c r="K483" t="s">
        <v>58</v>
      </c>
      <c r="L483">
        <v>1</v>
      </c>
      <c r="M483">
        <v>236000</v>
      </c>
      <c r="N483">
        <v>5</v>
      </c>
      <c r="O483">
        <v>224200</v>
      </c>
      <c r="P483">
        <v>13773.14</v>
      </c>
      <c r="Q483" t="s">
        <v>37</v>
      </c>
      <c r="R483" t="s">
        <v>60</v>
      </c>
      <c r="S483" t="s">
        <v>69</v>
      </c>
      <c r="T483" t="s">
        <v>40</v>
      </c>
    </row>
    <row r="484" spans="1:20" x14ac:dyDescent="0.25">
      <c r="A484" t="s">
        <v>20</v>
      </c>
      <c r="B484" t="s">
        <v>1063</v>
      </c>
      <c r="C484" s="1">
        <v>46098</v>
      </c>
      <c r="D484" t="s">
        <v>1064</v>
      </c>
      <c r="E484" t="s">
        <v>72</v>
      </c>
      <c r="F484" t="s">
        <v>24</v>
      </c>
      <c r="G484">
        <v>38</v>
      </c>
      <c r="H484" t="s">
        <v>73</v>
      </c>
      <c r="I484" t="s">
        <v>26</v>
      </c>
      <c r="J484" t="s">
        <v>118</v>
      </c>
      <c r="K484" t="s">
        <v>101</v>
      </c>
      <c r="L484">
        <v>1</v>
      </c>
      <c r="M484">
        <v>85000</v>
      </c>
      <c r="N484">
        <v>10</v>
      </c>
      <c r="O484">
        <v>76500</v>
      </c>
      <c r="P484">
        <v>6521.96</v>
      </c>
      <c r="Q484" t="s">
        <v>59</v>
      </c>
      <c r="R484" t="s">
        <v>96</v>
      </c>
      <c r="S484" t="s">
        <v>39</v>
      </c>
      <c r="T484" t="s">
        <v>40</v>
      </c>
    </row>
    <row r="485" spans="1:20" x14ac:dyDescent="0.25">
      <c r="A485" t="s">
        <v>20</v>
      </c>
      <c r="B485" t="s">
        <v>1065</v>
      </c>
      <c r="C485" s="1">
        <v>45694</v>
      </c>
      <c r="D485" t="s">
        <v>1066</v>
      </c>
      <c r="E485" t="s">
        <v>72</v>
      </c>
      <c r="F485" t="s">
        <v>55</v>
      </c>
      <c r="G485">
        <v>50</v>
      </c>
      <c r="H485" t="s">
        <v>85</v>
      </c>
      <c r="I485" t="s">
        <v>26</v>
      </c>
      <c r="J485" t="s">
        <v>45</v>
      </c>
      <c r="K485" t="s">
        <v>58</v>
      </c>
      <c r="L485">
        <v>1</v>
      </c>
      <c r="M485">
        <v>97000</v>
      </c>
      <c r="N485">
        <v>0</v>
      </c>
      <c r="O485">
        <v>97000</v>
      </c>
      <c r="P485">
        <v>18664.419999999998</v>
      </c>
      <c r="Q485" t="s">
        <v>667</v>
      </c>
      <c r="R485" t="s">
        <v>30</v>
      </c>
      <c r="S485" t="s">
        <v>47</v>
      </c>
      <c r="T485" t="s">
        <v>32</v>
      </c>
    </row>
    <row r="486" spans="1:20" x14ac:dyDescent="0.25">
      <c r="A486" t="s">
        <v>20</v>
      </c>
      <c r="B486" t="s">
        <v>1067</v>
      </c>
      <c r="C486" s="1">
        <v>45773</v>
      </c>
      <c r="D486" t="s">
        <v>1068</v>
      </c>
      <c r="E486" t="s">
        <v>23</v>
      </c>
      <c r="F486" t="s">
        <v>24</v>
      </c>
      <c r="G486">
        <v>29</v>
      </c>
      <c r="H486" t="s">
        <v>56</v>
      </c>
      <c r="I486" t="s">
        <v>26</v>
      </c>
      <c r="J486" t="s">
        <v>57</v>
      </c>
      <c r="K486" t="s">
        <v>28</v>
      </c>
      <c r="L486">
        <v>3</v>
      </c>
      <c r="M486">
        <v>176000</v>
      </c>
      <c r="N486">
        <v>5</v>
      </c>
      <c r="O486">
        <v>501600</v>
      </c>
      <c r="P486">
        <v>60756.35</v>
      </c>
      <c r="Q486" t="s">
        <v>52</v>
      </c>
      <c r="R486" t="s">
        <v>60</v>
      </c>
      <c r="S486" t="s">
        <v>31</v>
      </c>
      <c r="T486" t="s">
        <v>32</v>
      </c>
    </row>
    <row r="487" spans="1:20" x14ac:dyDescent="0.25">
      <c r="A487" t="s">
        <v>20</v>
      </c>
      <c r="B487" t="s">
        <v>1069</v>
      </c>
      <c r="C487" s="1">
        <v>45662</v>
      </c>
      <c r="D487" t="s">
        <v>1070</v>
      </c>
      <c r="E487" t="s">
        <v>129</v>
      </c>
      <c r="F487" t="s">
        <v>24</v>
      </c>
      <c r="G487">
        <v>0</v>
      </c>
      <c r="H487" t="s">
        <v>51</v>
      </c>
      <c r="I487" t="s">
        <v>26</v>
      </c>
      <c r="J487" t="s">
        <v>36</v>
      </c>
      <c r="K487" t="s">
        <v>28</v>
      </c>
      <c r="L487">
        <v>1</v>
      </c>
      <c r="M487">
        <v>117000</v>
      </c>
      <c r="N487">
        <v>7</v>
      </c>
      <c r="O487">
        <v>108810</v>
      </c>
      <c r="P487">
        <v>14567.96</v>
      </c>
      <c r="Q487" t="s">
        <v>52</v>
      </c>
      <c r="R487" t="s">
        <v>38</v>
      </c>
      <c r="S487" t="s">
        <v>61</v>
      </c>
      <c r="T487" t="s">
        <v>32</v>
      </c>
    </row>
    <row r="488" spans="1:20" x14ac:dyDescent="0.25">
      <c r="A488" t="s">
        <v>20</v>
      </c>
      <c r="B488" t="s">
        <v>1071</v>
      </c>
      <c r="C488" s="1">
        <v>46262</v>
      </c>
      <c r="D488" t="s">
        <v>1072</v>
      </c>
      <c r="E488" t="s">
        <v>43</v>
      </c>
      <c r="F488" t="s">
        <v>55</v>
      </c>
      <c r="G488">
        <v>26</v>
      </c>
      <c r="H488" t="s">
        <v>25</v>
      </c>
      <c r="I488" t="s">
        <v>26</v>
      </c>
      <c r="J488" t="s">
        <v>64</v>
      </c>
      <c r="K488" t="s">
        <v>28</v>
      </c>
      <c r="L488">
        <v>1</v>
      </c>
      <c r="M488">
        <v>127000</v>
      </c>
      <c r="N488">
        <v>0</v>
      </c>
      <c r="O488">
        <v>127000</v>
      </c>
      <c r="P488">
        <v>21932.85</v>
      </c>
      <c r="Q488" t="s">
        <v>82</v>
      </c>
      <c r="R488" t="s">
        <v>38</v>
      </c>
      <c r="S488" t="s">
        <v>61</v>
      </c>
      <c r="T488" t="s">
        <v>40</v>
      </c>
    </row>
    <row r="489" spans="1:20" x14ac:dyDescent="0.25">
      <c r="A489" t="s">
        <v>20</v>
      </c>
      <c r="B489" t="s">
        <v>1073</v>
      </c>
      <c r="C489" s="1">
        <v>46121</v>
      </c>
      <c r="D489" t="s">
        <v>1074</v>
      </c>
      <c r="E489" t="s">
        <v>129</v>
      </c>
      <c r="F489" t="s">
        <v>55</v>
      </c>
      <c r="G489">
        <v>40</v>
      </c>
      <c r="H489" t="s">
        <v>51</v>
      </c>
      <c r="I489" t="s">
        <v>26</v>
      </c>
      <c r="J489" t="s">
        <v>121</v>
      </c>
      <c r="K489" t="s">
        <v>28</v>
      </c>
      <c r="L489">
        <v>1</v>
      </c>
      <c r="M489">
        <v>173000</v>
      </c>
      <c r="N489">
        <v>3</v>
      </c>
      <c r="O489">
        <v>167810</v>
      </c>
      <c r="P489">
        <v>12737.56</v>
      </c>
      <c r="Q489" t="s">
        <v>74</v>
      </c>
      <c r="R489" t="s">
        <v>60</v>
      </c>
      <c r="S489" t="s">
        <v>69</v>
      </c>
      <c r="T489" t="s">
        <v>32</v>
      </c>
    </row>
    <row r="490" spans="1:20" x14ac:dyDescent="0.25">
      <c r="A490" t="s">
        <v>20</v>
      </c>
      <c r="B490" t="s">
        <v>1075</v>
      </c>
      <c r="C490" s="1">
        <v>46066</v>
      </c>
      <c r="D490" t="s">
        <v>1076</v>
      </c>
      <c r="E490" t="s">
        <v>80</v>
      </c>
      <c r="F490" t="s">
        <v>55</v>
      </c>
      <c r="G490">
        <v>25</v>
      </c>
      <c r="H490" t="s">
        <v>95</v>
      </c>
      <c r="I490" t="s">
        <v>26</v>
      </c>
      <c r="J490" t="s">
        <v>36</v>
      </c>
      <c r="K490" t="s">
        <v>68</v>
      </c>
      <c r="L490">
        <v>1</v>
      </c>
      <c r="M490">
        <v>115000</v>
      </c>
      <c r="N490">
        <v>2</v>
      </c>
      <c r="O490">
        <v>112700</v>
      </c>
      <c r="P490">
        <v>19686.89</v>
      </c>
      <c r="Q490" t="s">
        <v>59</v>
      </c>
      <c r="R490" t="s">
        <v>38</v>
      </c>
      <c r="S490" t="s">
        <v>39</v>
      </c>
      <c r="T490" t="s">
        <v>32</v>
      </c>
    </row>
    <row r="491" spans="1:20" x14ac:dyDescent="0.25">
      <c r="A491" t="s">
        <v>20</v>
      </c>
      <c r="B491" t="s">
        <v>1077</v>
      </c>
      <c r="C491" s="1">
        <v>45975</v>
      </c>
      <c r="D491" t="s">
        <v>1078</v>
      </c>
      <c r="E491" t="s">
        <v>43</v>
      </c>
      <c r="F491" t="s">
        <v>55</v>
      </c>
      <c r="G491">
        <v>28</v>
      </c>
      <c r="H491" t="s">
        <v>51</v>
      </c>
      <c r="I491" t="s">
        <v>26</v>
      </c>
      <c r="J491" t="s">
        <v>27</v>
      </c>
      <c r="K491" t="s">
        <v>101</v>
      </c>
      <c r="L491">
        <v>1</v>
      </c>
      <c r="M491">
        <v>95000</v>
      </c>
      <c r="N491">
        <v>10</v>
      </c>
      <c r="O491">
        <v>85500</v>
      </c>
      <c r="P491">
        <v>2207.5700000000002</v>
      </c>
      <c r="Q491" t="s">
        <v>52</v>
      </c>
      <c r="R491" t="s">
        <v>38</v>
      </c>
      <c r="S491" t="s">
        <v>47</v>
      </c>
      <c r="T491" t="s">
        <v>40</v>
      </c>
    </row>
    <row r="492" spans="1:20" x14ac:dyDescent="0.25">
      <c r="A492" t="s">
        <v>20</v>
      </c>
      <c r="B492" t="s">
        <v>1079</v>
      </c>
      <c r="C492" s="1">
        <v>46035</v>
      </c>
      <c r="D492" t="s">
        <v>1080</v>
      </c>
      <c r="E492" t="s">
        <v>94</v>
      </c>
      <c r="F492" t="s">
        <v>24</v>
      </c>
      <c r="G492">
        <v>31</v>
      </c>
      <c r="H492" t="s">
        <v>51</v>
      </c>
      <c r="I492" t="s">
        <v>26</v>
      </c>
      <c r="J492" t="s">
        <v>57</v>
      </c>
      <c r="K492" t="s">
        <v>28</v>
      </c>
      <c r="L492">
        <v>1</v>
      </c>
      <c r="M492">
        <v>175000</v>
      </c>
      <c r="N492">
        <v>0</v>
      </c>
      <c r="O492">
        <v>175000</v>
      </c>
      <c r="P492">
        <v>22613.7</v>
      </c>
      <c r="Q492" t="s">
        <v>105</v>
      </c>
      <c r="R492" t="s">
        <v>60</v>
      </c>
      <c r="S492" t="s">
        <v>47</v>
      </c>
      <c r="T492" t="s">
        <v>32</v>
      </c>
    </row>
    <row r="493" spans="1:20" x14ac:dyDescent="0.25">
      <c r="A493" t="s">
        <v>20</v>
      </c>
      <c r="B493" t="s">
        <v>1081</v>
      </c>
      <c r="C493" s="1">
        <v>46137</v>
      </c>
      <c r="D493" t="s">
        <v>1082</v>
      </c>
      <c r="E493" t="s">
        <v>23</v>
      </c>
      <c r="F493" t="s">
        <v>24</v>
      </c>
      <c r="G493">
        <v>47</v>
      </c>
      <c r="H493" t="s">
        <v>85</v>
      </c>
      <c r="I493" t="s">
        <v>26</v>
      </c>
      <c r="J493" t="s">
        <v>121</v>
      </c>
      <c r="K493" t="s">
        <v>101</v>
      </c>
      <c r="L493">
        <v>1</v>
      </c>
      <c r="M493">
        <v>100000</v>
      </c>
      <c r="N493">
        <v>7</v>
      </c>
      <c r="O493">
        <v>93000</v>
      </c>
      <c r="P493">
        <v>13992.36</v>
      </c>
      <c r="Q493" t="s">
        <v>37</v>
      </c>
      <c r="R493" t="s">
        <v>96</v>
      </c>
      <c r="S493" t="s">
        <v>61</v>
      </c>
      <c r="T493" t="s">
        <v>40</v>
      </c>
    </row>
    <row r="494" spans="1:20" x14ac:dyDescent="0.25">
      <c r="A494" t="s">
        <v>20</v>
      </c>
      <c r="B494" t="s">
        <v>1083</v>
      </c>
      <c r="C494" s="1">
        <v>45704</v>
      </c>
      <c r="D494" t="s">
        <v>1084</v>
      </c>
      <c r="E494" t="s">
        <v>23</v>
      </c>
      <c r="F494" t="s">
        <v>24</v>
      </c>
      <c r="G494">
        <v>52</v>
      </c>
      <c r="H494" t="s">
        <v>95</v>
      </c>
      <c r="I494" t="s">
        <v>26</v>
      </c>
      <c r="J494" t="s">
        <v>111</v>
      </c>
      <c r="K494" t="s">
        <v>58</v>
      </c>
      <c r="L494">
        <v>1</v>
      </c>
      <c r="M494">
        <v>123000</v>
      </c>
      <c r="N494">
        <v>7</v>
      </c>
      <c r="O494">
        <v>114390</v>
      </c>
      <c r="P494">
        <v>17320.38</v>
      </c>
      <c r="Q494" t="s">
        <v>82</v>
      </c>
      <c r="R494" t="s">
        <v>38</v>
      </c>
      <c r="S494" t="s">
        <v>61</v>
      </c>
      <c r="T494" t="s">
        <v>40</v>
      </c>
    </row>
    <row r="495" spans="1:20" x14ac:dyDescent="0.25">
      <c r="A495" t="s">
        <v>20</v>
      </c>
      <c r="B495" t="s">
        <v>1085</v>
      </c>
      <c r="C495" s="1">
        <v>46131</v>
      </c>
      <c r="D495" t="s">
        <v>1086</v>
      </c>
      <c r="E495" t="s">
        <v>129</v>
      </c>
      <c r="F495" t="s">
        <v>24</v>
      </c>
      <c r="G495">
        <v>31</v>
      </c>
      <c r="H495" t="s">
        <v>1087</v>
      </c>
      <c r="I495" t="s">
        <v>26</v>
      </c>
      <c r="J495" t="s">
        <v>64</v>
      </c>
      <c r="K495" t="s">
        <v>28</v>
      </c>
      <c r="L495">
        <v>1</v>
      </c>
      <c r="M495">
        <v>126000</v>
      </c>
      <c r="N495">
        <v>0</v>
      </c>
      <c r="O495">
        <v>126000</v>
      </c>
      <c r="P495">
        <v>25997.3</v>
      </c>
      <c r="Q495" t="s">
        <v>82</v>
      </c>
      <c r="R495" t="s">
        <v>38</v>
      </c>
      <c r="S495" t="s">
        <v>61</v>
      </c>
      <c r="T495" t="s">
        <v>40</v>
      </c>
    </row>
    <row r="496" spans="1:20" x14ac:dyDescent="0.25">
      <c r="A496" t="s">
        <v>20</v>
      </c>
      <c r="B496" t="s">
        <v>1088</v>
      </c>
      <c r="C496" s="1">
        <v>46007</v>
      </c>
      <c r="D496" t="s">
        <v>1089</v>
      </c>
      <c r="E496" t="s">
        <v>50</v>
      </c>
      <c r="F496" t="s">
        <v>55</v>
      </c>
      <c r="G496">
        <v>31</v>
      </c>
      <c r="H496" t="s">
        <v>85</v>
      </c>
      <c r="I496" t="s">
        <v>26</v>
      </c>
      <c r="J496" t="s">
        <v>64</v>
      </c>
      <c r="K496" t="s">
        <v>28</v>
      </c>
      <c r="L496">
        <v>1</v>
      </c>
      <c r="M496">
        <v>125000</v>
      </c>
      <c r="N496">
        <v>7</v>
      </c>
      <c r="O496">
        <v>116250</v>
      </c>
      <c r="P496">
        <v>6632.49</v>
      </c>
      <c r="Q496" t="s">
        <v>74</v>
      </c>
      <c r="R496" t="s">
        <v>30</v>
      </c>
      <c r="S496" t="s">
        <v>47</v>
      </c>
      <c r="T496" t="s">
        <v>32</v>
      </c>
    </row>
    <row r="497" spans="1:20" x14ac:dyDescent="0.25">
      <c r="A497" t="s">
        <v>20</v>
      </c>
      <c r="B497" t="s">
        <v>1090</v>
      </c>
      <c r="C497" s="1">
        <v>46072</v>
      </c>
      <c r="D497" t="s">
        <v>1091</v>
      </c>
      <c r="E497" t="s">
        <v>72</v>
      </c>
      <c r="F497" t="s">
        <v>24</v>
      </c>
      <c r="G497">
        <v>0</v>
      </c>
      <c r="H497" t="s">
        <v>95</v>
      </c>
      <c r="I497" t="s">
        <v>26</v>
      </c>
      <c r="J497" t="s">
        <v>118</v>
      </c>
      <c r="K497" t="s">
        <v>58</v>
      </c>
      <c r="L497">
        <v>1</v>
      </c>
      <c r="M497">
        <v>84000</v>
      </c>
      <c r="N497">
        <v>10</v>
      </c>
      <c r="O497">
        <v>75600</v>
      </c>
      <c r="P497">
        <v>5270.63</v>
      </c>
      <c r="Q497" t="s">
        <v>226</v>
      </c>
      <c r="R497" t="s">
        <v>30</v>
      </c>
      <c r="S497" t="s">
        <v>31</v>
      </c>
      <c r="T497" t="s">
        <v>32</v>
      </c>
    </row>
    <row r="498" spans="1:20" x14ac:dyDescent="0.25">
      <c r="A498" t="s">
        <v>20</v>
      </c>
      <c r="B498" t="s">
        <v>1092</v>
      </c>
      <c r="C498" s="1">
        <v>45685</v>
      </c>
      <c r="D498" t="s">
        <v>1093</v>
      </c>
      <c r="E498" t="s">
        <v>35</v>
      </c>
      <c r="F498" t="s">
        <v>55</v>
      </c>
      <c r="G498">
        <v>33</v>
      </c>
      <c r="H498" t="s">
        <v>44</v>
      </c>
      <c r="I498" t="s">
        <v>26</v>
      </c>
      <c r="J498" t="s">
        <v>118</v>
      </c>
      <c r="K498" t="s">
        <v>68</v>
      </c>
      <c r="L498">
        <v>1</v>
      </c>
      <c r="M498">
        <v>83000</v>
      </c>
      <c r="N498">
        <v>10</v>
      </c>
      <c r="O498">
        <v>74700</v>
      </c>
      <c r="P498">
        <v>293.62</v>
      </c>
      <c r="Q498" t="s">
        <v>105</v>
      </c>
      <c r="R498" t="s">
        <v>96</v>
      </c>
      <c r="S498" t="s">
        <v>69</v>
      </c>
      <c r="T498" t="s">
        <v>40</v>
      </c>
    </row>
    <row r="499" spans="1:20" x14ac:dyDescent="0.25">
      <c r="A499" t="s">
        <v>20</v>
      </c>
      <c r="B499" t="s">
        <v>1094</v>
      </c>
      <c r="C499" s="1">
        <v>45814</v>
      </c>
      <c r="D499" t="s">
        <v>1095</v>
      </c>
      <c r="E499" t="s">
        <v>35</v>
      </c>
      <c r="F499" t="s">
        <v>24</v>
      </c>
      <c r="G499">
        <v>48</v>
      </c>
      <c r="H499" t="s">
        <v>73</v>
      </c>
      <c r="I499" t="s">
        <v>26</v>
      </c>
      <c r="J499" t="s">
        <v>57</v>
      </c>
      <c r="K499" t="s">
        <v>28</v>
      </c>
      <c r="L499">
        <v>1</v>
      </c>
      <c r="M499">
        <v>173000</v>
      </c>
      <c r="N499">
        <v>0</v>
      </c>
      <c r="O499">
        <v>173000</v>
      </c>
      <c r="P499">
        <v>34611.65</v>
      </c>
      <c r="Q499" t="s">
        <v>46</v>
      </c>
      <c r="R499" t="s">
        <v>96</v>
      </c>
      <c r="S499" t="s">
        <v>31</v>
      </c>
      <c r="T499" t="s">
        <v>40</v>
      </c>
    </row>
    <row r="500" spans="1:20" x14ac:dyDescent="0.25">
      <c r="A500" t="s">
        <v>20</v>
      </c>
      <c r="B500" t="s">
        <v>1096</v>
      </c>
      <c r="C500" s="1">
        <v>46100</v>
      </c>
      <c r="D500" t="s">
        <v>1097</v>
      </c>
      <c r="E500" t="s">
        <v>35</v>
      </c>
      <c r="F500" t="s">
        <v>24</v>
      </c>
      <c r="G500">
        <v>46</v>
      </c>
      <c r="H500" t="s">
        <v>95</v>
      </c>
      <c r="I500" t="s">
        <v>26</v>
      </c>
      <c r="J500" t="s">
        <v>81</v>
      </c>
      <c r="K500" t="s">
        <v>28</v>
      </c>
      <c r="L500">
        <v>1</v>
      </c>
      <c r="M500">
        <v>233000</v>
      </c>
      <c r="N500">
        <v>0</v>
      </c>
      <c r="O500">
        <v>233000</v>
      </c>
      <c r="P500">
        <v>33633.74</v>
      </c>
      <c r="Q500" t="s">
        <v>46</v>
      </c>
      <c r="R500" t="s">
        <v>38</v>
      </c>
      <c r="S500" t="s">
        <v>47</v>
      </c>
      <c r="T500" t="s">
        <v>40</v>
      </c>
    </row>
    <row r="501" spans="1:20" x14ac:dyDescent="0.25">
      <c r="A501" t="s">
        <v>20</v>
      </c>
      <c r="B501" t="s">
        <v>1098</v>
      </c>
      <c r="C501" s="1">
        <v>45723</v>
      </c>
      <c r="D501" t="s">
        <v>1099</v>
      </c>
      <c r="E501" t="s">
        <v>94</v>
      </c>
      <c r="F501" t="s">
        <v>24</v>
      </c>
      <c r="G501">
        <v>37</v>
      </c>
      <c r="H501" t="s">
        <v>25</v>
      </c>
      <c r="I501" t="s">
        <v>26</v>
      </c>
      <c r="J501" t="s">
        <v>111</v>
      </c>
      <c r="K501" t="s">
        <v>28</v>
      </c>
      <c r="L501">
        <v>1</v>
      </c>
      <c r="M501">
        <v>125000</v>
      </c>
      <c r="N501">
        <v>7</v>
      </c>
      <c r="O501">
        <v>116250</v>
      </c>
      <c r="P501">
        <v>14012.25</v>
      </c>
      <c r="Q501" t="s">
        <v>46</v>
      </c>
      <c r="R501" t="s">
        <v>60</v>
      </c>
      <c r="S501" t="s">
        <v>47</v>
      </c>
      <c r="T501" t="s">
        <v>40</v>
      </c>
    </row>
    <row r="502" spans="1:20" x14ac:dyDescent="0.25">
      <c r="A502" t="s">
        <v>20</v>
      </c>
      <c r="B502" t="s">
        <v>1100</v>
      </c>
      <c r="C502" s="1">
        <v>45895</v>
      </c>
      <c r="D502" t="s">
        <v>1101</v>
      </c>
      <c r="E502" t="s">
        <v>50</v>
      </c>
      <c r="F502" t="s">
        <v>24</v>
      </c>
      <c r="G502">
        <v>52</v>
      </c>
      <c r="H502" t="s">
        <v>73</v>
      </c>
      <c r="I502" t="s">
        <v>26</v>
      </c>
      <c r="J502" t="s">
        <v>118</v>
      </c>
      <c r="K502" t="s">
        <v>58</v>
      </c>
      <c r="L502">
        <v>1</v>
      </c>
      <c r="M502">
        <v>84000</v>
      </c>
      <c r="N502">
        <v>5</v>
      </c>
      <c r="O502">
        <v>79800</v>
      </c>
      <c r="P502">
        <v>10814.02</v>
      </c>
      <c r="Q502" t="s">
        <v>37</v>
      </c>
      <c r="R502" t="s">
        <v>60</v>
      </c>
      <c r="S502" t="s">
        <v>61</v>
      </c>
      <c r="T502" t="s">
        <v>40</v>
      </c>
    </row>
    <row r="503" spans="1:20" x14ac:dyDescent="0.25">
      <c r="A503" t="s">
        <v>20</v>
      </c>
      <c r="B503" t="s">
        <v>1102</v>
      </c>
      <c r="C503" s="1">
        <v>45746</v>
      </c>
      <c r="D503" t="s">
        <v>1103</v>
      </c>
      <c r="E503" t="s">
        <v>129</v>
      </c>
      <c r="F503" t="s">
        <v>55</v>
      </c>
      <c r="G503">
        <v>50</v>
      </c>
      <c r="H503" t="s">
        <v>56</v>
      </c>
      <c r="I503" t="s">
        <v>26</v>
      </c>
      <c r="J503" t="s">
        <v>77</v>
      </c>
      <c r="K503" t="s">
        <v>68</v>
      </c>
      <c r="L503">
        <v>1</v>
      </c>
      <c r="M503">
        <v>194000</v>
      </c>
      <c r="N503">
        <v>7</v>
      </c>
      <c r="O503">
        <v>180420</v>
      </c>
      <c r="P503">
        <v>24276.18</v>
      </c>
      <c r="Q503" t="s">
        <v>37</v>
      </c>
      <c r="R503" t="s">
        <v>38</v>
      </c>
      <c r="S503" t="s">
        <v>69</v>
      </c>
      <c r="T503" t="s">
        <v>40</v>
      </c>
    </row>
    <row r="504" spans="1:20" x14ac:dyDescent="0.25">
      <c r="A504" t="s">
        <v>20</v>
      </c>
      <c r="B504" t="s">
        <v>1104</v>
      </c>
      <c r="C504" s="1">
        <v>46025</v>
      </c>
      <c r="D504" t="s">
        <v>1105</v>
      </c>
      <c r="E504" t="s">
        <v>43</v>
      </c>
      <c r="F504" t="s">
        <v>55</v>
      </c>
      <c r="G504">
        <v>36</v>
      </c>
      <c r="H504" t="s">
        <v>51</v>
      </c>
      <c r="I504" t="s">
        <v>26</v>
      </c>
      <c r="J504" t="s">
        <v>57</v>
      </c>
      <c r="K504" t="s">
        <v>68</v>
      </c>
      <c r="L504">
        <v>1</v>
      </c>
      <c r="M504">
        <v>176000</v>
      </c>
      <c r="N504">
        <v>0</v>
      </c>
      <c r="O504">
        <v>176000</v>
      </c>
      <c r="P504">
        <v>17615.599999999999</v>
      </c>
      <c r="Q504" t="s">
        <v>105</v>
      </c>
      <c r="R504" t="s">
        <v>30</v>
      </c>
      <c r="S504" t="s">
        <v>39</v>
      </c>
      <c r="T504" t="s">
        <v>40</v>
      </c>
    </row>
    <row r="505" spans="1:20" x14ac:dyDescent="0.25">
      <c r="A505" t="s">
        <v>20</v>
      </c>
      <c r="B505" t="s">
        <v>1106</v>
      </c>
      <c r="C505" s="1">
        <v>46006</v>
      </c>
      <c r="D505" t="s">
        <v>1107</v>
      </c>
      <c r="E505" t="s">
        <v>80</v>
      </c>
      <c r="F505" t="s">
        <v>24</v>
      </c>
      <c r="G505">
        <v>42</v>
      </c>
      <c r="H505" t="s">
        <v>44</v>
      </c>
      <c r="I505" t="s">
        <v>26</v>
      </c>
      <c r="J505" t="s">
        <v>27</v>
      </c>
      <c r="K505" t="s">
        <v>68</v>
      </c>
      <c r="L505">
        <v>1</v>
      </c>
      <c r="M505">
        <v>94000</v>
      </c>
      <c r="N505">
        <v>5</v>
      </c>
      <c r="O505">
        <v>89300</v>
      </c>
      <c r="P505">
        <v>13071.77</v>
      </c>
      <c r="Q505" t="s">
        <v>82</v>
      </c>
      <c r="R505" t="s">
        <v>30</v>
      </c>
      <c r="S505" t="s">
        <v>47</v>
      </c>
      <c r="T505" t="s">
        <v>40</v>
      </c>
    </row>
    <row r="506" spans="1:20" x14ac:dyDescent="0.25">
      <c r="A506" t="s">
        <v>20</v>
      </c>
      <c r="B506" t="s">
        <v>1108</v>
      </c>
      <c r="C506" s="1">
        <v>45700</v>
      </c>
      <c r="D506" t="s">
        <v>1109</v>
      </c>
      <c r="E506" t="s">
        <v>23</v>
      </c>
      <c r="F506" t="s">
        <v>55</v>
      </c>
      <c r="G506">
        <v>52</v>
      </c>
      <c r="H506" t="s">
        <v>108</v>
      </c>
      <c r="I506" t="s">
        <v>26</v>
      </c>
      <c r="J506" t="s">
        <v>27</v>
      </c>
      <c r="K506" t="s">
        <v>28</v>
      </c>
      <c r="L506">
        <v>1</v>
      </c>
      <c r="M506">
        <v>96000</v>
      </c>
      <c r="N506">
        <v>0</v>
      </c>
      <c r="O506">
        <v>96000</v>
      </c>
      <c r="P506">
        <v>11632.01</v>
      </c>
      <c r="Q506" t="s">
        <v>52</v>
      </c>
      <c r="R506" t="s">
        <v>60</v>
      </c>
      <c r="S506" t="s">
        <v>31</v>
      </c>
      <c r="T506" t="s">
        <v>40</v>
      </c>
    </row>
    <row r="507" spans="1:20" x14ac:dyDescent="0.25">
      <c r="A507" t="s">
        <v>20</v>
      </c>
      <c r="B507" t="s">
        <v>1110</v>
      </c>
      <c r="C507" s="1">
        <v>46000</v>
      </c>
      <c r="D507" t="s">
        <v>1111</v>
      </c>
      <c r="E507" t="s">
        <v>23</v>
      </c>
      <c r="F507" t="s">
        <v>55</v>
      </c>
      <c r="G507">
        <v>28</v>
      </c>
      <c r="H507" t="s">
        <v>85</v>
      </c>
      <c r="I507" t="s">
        <v>26</v>
      </c>
      <c r="J507" t="s">
        <v>57</v>
      </c>
      <c r="K507" t="s">
        <v>58</v>
      </c>
      <c r="L507">
        <v>1</v>
      </c>
      <c r="M507">
        <v>173000</v>
      </c>
      <c r="N507">
        <v>2</v>
      </c>
      <c r="O507">
        <v>169540</v>
      </c>
      <c r="P507">
        <v>21166.35</v>
      </c>
      <c r="Q507" t="s">
        <v>59</v>
      </c>
      <c r="R507" t="s">
        <v>30</v>
      </c>
      <c r="S507" t="s">
        <v>31</v>
      </c>
      <c r="T507" t="s">
        <v>40</v>
      </c>
    </row>
    <row r="508" spans="1:20" x14ac:dyDescent="0.25">
      <c r="A508" t="s">
        <v>20</v>
      </c>
      <c r="B508" t="s">
        <v>1112</v>
      </c>
      <c r="C508" s="1">
        <v>46082</v>
      </c>
      <c r="D508" t="s">
        <v>1113</v>
      </c>
      <c r="E508" t="s">
        <v>50</v>
      </c>
      <c r="F508" t="s">
        <v>55</v>
      </c>
      <c r="G508">
        <v>43</v>
      </c>
      <c r="H508" t="s">
        <v>51</v>
      </c>
      <c r="I508" t="s">
        <v>26</v>
      </c>
      <c r="J508" t="s">
        <v>64</v>
      </c>
      <c r="K508" t="s">
        <v>58</v>
      </c>
      <c r="L508">
        <v>1</v>
      </c>
      <c r="M508">
        <v>123000</v>
      </c>
      <c r="N508">
        <v>3</v>
      </c>
      <c r="O508">
        <v>119310</v>
      </c>
      <c r="P508">
        <v>17872.84</v>
      </c>
      <c r="Q508" t="s">
        <v>52</v>
      </c>
      <c r="R508" t="s">
        <v>96</v>
      </c>
      <c r="S508" t="s">
        <v>47</v>
      </c>
      <c r="T508" t="s">
        <v>40</v>
      </c>
    </row>
    <row r="509" spans="1:20" x14ac:dyDescent="0.25">
      <c r="A509" t="s">
        <v>20</v>
      </c>
      <c r="B509" t="s">
        <v>1114</v>
      </c>
      <c r="C509" s="1">
        <v>45688</v>
      </c>
      <c r="D509" t="s">
        <v>1115</v>
      </c>
      <c r="E509" t="s">
        <v>129</v>
      </c>
      <c r="F509" t="s">
        <v>55</v>
      </c>
      <c r="G509">
        <v>48</v>
      </c>
      <c r="H509" t="s">
        <v>85</v>
      </c>
      <c r="I509" t="s">
        <v>26</v>
      </c>
      <c r="J509" t="s">
        <v>77</v>
      </c>
      <c r="K509" t="s">
        <v>28</v>
      </c>
      <c r="L509">
        <v>2</v>
      </c>
      <c r="M509">
        <v>196000</v>
      </c>
      <c r="N509">
        <v>10</v>
      </c>
      <c r="O509">
        <v>352800</v>
      </c>
      <c r="P509">
        <v>30022.13</v>
      </c>
      <c r="Q509" t="s">
        <v>105</v>
      </c>
      <c r="R509" t="s">
        <v>60</v>
      </c>
      <c r="S509" t="s">
        <v>39</v>
      </c>
      <c r="T509" t="s">
        <v>40</v>
      </c>
    </row>
    <row r="510" spans="1:20" x14ac:dyDescent="0.25">
      <c r="A510" t="s">
        <v>20</v>
      </c>
      <c r="B510" t="s">
        <v>1116</v>
      </c>
      <c r="C510" s="1">
        <v>45812</v>
      </c>
      <c r="D510" t="s">
        <v>1117</v>
      </c>
      <c r="E510" t="s">
        <v>72</v>
      </c>
      <c r="F510" t="s">
        <v>24</v>
      </c>
      <c r="G510">
        <v>23</v>
      </c>
      <c r="H510" t="s">
        <v>95</v>
      </c>
      <c r="I510" t="s">
        <v>26</v>
      </c>
      <c r="J510" t="s">
        <v>45</v>
      </c>
      <c r="K510" t="s">
        <v>58</v>
      </c>
      <c r="L510">
        <v>1</v>
      </c>
      <c r="M510">
        <v>96000</v>
      </c>
      <c r="N510">
        <v>10</v>
      </c>
      <c r="O510">
        <v>86400</v>
      </c>
      <c r="P510">
        <v>892.58</v>
      </c>
      <c r="Q510" t="s">
        <v>74</v>
      </c>
      <c r="R510" t="s">
        <v>60</v>
      </c>
      <c r="S510" t="s">
        <v>39</v>
      </c>
      <c r="T510" t="s">
        <v>32</v>
      </c>
    </row>
    <row r="511" spans="1:20" x14ac:dyDescent="0.25">
      <c r="A511" t="s">
        <v>20</v>
      </c>
      <c r="B511" t="s">
        <v>1118</v>
      </c>
      <c r="C511" s="1">
        <v>46215</v>
      </c>
      <c r="D511" t="s">
        <v>1119</v>
      </c>
      <c r="E511" t="s">
        <v>43</v>
      </c>
      <c r="F511" t="s">
        <v>24</v>
      </c>
      <c r="G511">
        <v>48</v>
      </c>
      <c r="H511" t="s">
        <v>73</v>
      </c>
      <c r="I511" t="s">
        <v>26</v>
      </c>
      <c r="J511" t="s">
        <v>104</v>
      </c>
      <c r="K511" t="s">
        <v>68</v>
      </c>
      <c r="L511">
        <v>1</v>
      </c>
      <c r="M511">
        <v>170000</v>
      </c>
      <c r="N511">
        <v>10</v>
      </c>
      <c r="O511">
        <v>153000</v>
      </c>
      <c r="P511">
        <v>16215.28</v>
      </c>
      <c r="Q511" t="s">
        <v>74</v>
      </c>
      <c r="R511" t="s">
        <v>30</v>
      </c>
      <c r="S511" t="s">
        <v>69</v>
      </c>
      <c r="T511" t="s">
        <v>40</v>
      </c>
    </row>
    <row r="512" spans="1:20" x14ac:dyDescent="0.25">
      <c r="A512" t="s">
        <v>20</v>
      </c>
      <c r="B512" t="s">
        <v>1120</v>
      </c>
      <c r="C512" s="1">
        <v>46181</v>
      </c>
      <c r="D512" t="s">
        <v>1121</v>
      </c>
      <c r="E512" t="s">
        <v>72</v>
      </c>
      <c r="F512" t="s">
        <v>24</v>
      </c>
      <c r="G512">
        <v>55</v>
      </c>
      <c r="H512" t="s">
        <v>73</v>
      </c>
      <c r="I512" t="s">
        <v>26</v>
      </c>
      <c r="J512" t="s">
        <v>77</v>
      </c>
      <c r="K512" t="s">
        <v>68</v>
      </c>
      <c r="L512">
        <v>1</v>
      </c>
      <c r="M512">
        <v>196000</v>
      </c>
      <c r="N512">
        <v>3</v>
      </c>
      <c r="O512">
        <v>190120</v>
      </c>
      <c r="P512">
        <v>32212.959999999999</v>
      </c>
      <c r="Q512" t="s">
        <v>105</v>
      </c>
      <c r="R512" t="s">
        <v>30</v>
      </c>
      <c r="S512" t="s">
        <v>87</v>
      </c>
      <c r="T512" t="s">
        <v>40</v>
      </c>
    </row>
    <row r="513" spans="1:20" x14ac:dyDescent="0.25">
      <c r="A513" t="s">
        <v>20</v>
      </c>
      <c r="B513" t="s">
        <v>1122</v>
      </c>
      <c r="C513" s="1">
        <v>46039</v>
      </c>
      <c r="D513" t="s">
        <v>1123</v>
      </c>
      <c r="E513" t="s">
        <v>43</v>
      </c>
      <c r="F513" t="s">
        <v>55</v>
      </c>
      <c r="G513">
        <v>36</v>
      </c>
      <c r="H513" t="s">
        <v>51</v>
      </c>
      <c r="I513" t="s">
        <v>26</v>
      </c>
      <c r="J513" t="s">
        <v>111</v>
      </c>
      <c r="K513" t="s">
        <v>28</v>
      </c>
      <c r="L513">
        <v>1</v>
      </c>
      <c r="M513">
        <v>126000</v>
      </c>
      <c r="N513">
        <v>0</v>
      </c>
      <c r="O513">
        <v>126000</v>
      </c>
      <c r="P513">
        <v>16652.37</v>
      </c>
      <c r="Q513" t="s">
        <v>82</v>
      </c>
      <c r="R513" t="s">
        <v>38</v>
      </c>
      <c r="S513" t="s">
        <v>39</v>
      </c>
      <c r="T513" t="s">
        <v>32</v>
      </c>
    </row>
    <row r="514" spans="1:20" x14ac:dyDescent="0.25">
      <c r="A514" t="s">
        <v>20</v>
      </c>
      <c r="B514" t="s">
        <v>1124</v>
      </c>
      <c r="C514" s="1">
        <v>46204</v>
      </c>
      <c r="D514" t="s">
        <v>1125</v>
      </c>
      <c r="E514" t="s">
        <v>43</v>
      </c>
      <c r="F514" t="s">
        <v>24</v>
      </c>
      <c r="G514">
        <v>120</v>
      </c>
      <c r="H514" t="s">
        <v>56</v>
      </c>
      <c r="I514" t="s">
        <v>26</v>
      </c>
      <c r="J514" t="s">
        <v>57</v>
      </c>
      <c r="K514" t="s">
        <v>101</v>
      </c>
      <c r="L514">
        <v>3</v>
      </c>
      <c r="M514">
        <v>177000</v>
      </c>
      <c r="N514">
        <v>7</v>
      </c>
      <c r="O514">
        <v>493830</v>
      </c>
      <c r="P514">
        <v>43610.14</v>
      </c>
      <c r="Q514" t="s">
        <v>37</v>
      </c>
      <c r="R514" t="s">
        <v>38</v>
      </c>
      <c r="S514" t="s">
        <v>87</v>
      </c>
      <c r="T514" t="s">
        <v>32</v>
      </c>
    </row>
    <row r="515" spans="1:20" x14ac:dyDescent="0.25">
      <c r="A515" t="s">
        <v>20</v>
      </c>
      <c r="B515" t="s">
        <v>1126</v>
      </c>
      <c r="C515" s="1">
        <v>45808</v>
      </c>
      <c r="D515" t="s">
        <v>1127</v>
      </c>
      <c r="E515" t="s">
        <v>94</v>
      </c>
      <c r="F515" t="s">
        <v>55</v>
      </c>
      <c r="G515">
        <v>47</v>
      </c>
      <c r="H515" t="s">
        <v>56</v>
      </c>
      <c r="I515" t="s">
        <v>26</v>
      </c>
      <c r="J515" t="s">
        <v>27</v>
      </c>
      <c r="K515" t="s">
        <v>28</v>
      </c>
      <c r="L515">
        <v>1</v>
      </c>
      <c r="M515">
        <v>94000</v>
      </c>
      <c r="N515">
        <v>3</v>
      </c>
      <c r="O515">
        <v>91180</v>
      </c>
      <c r="P515">
        <v>12735.39</v>
      </c>
      <c r="Q515" t="s">
        <v>105</v>
      </c>
      <c r="R515" t="s">
        <v>38</v>
      </c>
      <c r="S515" t="s">
        <v>31</v>
      </c>
      <c r="T515" t="s">
        <v>40</v>
      </c>
    </row>
    <row r="516" spans="1:20" x14ac:dyDescent="0.25">
      <c r="A516" t="s">
        <v>20</v>
      </c>
      <c r="B516" t="s">
        <v>1128</v>
      </c>
      <c r="C516" s="1">
        <v>46230</v>
      </c>
      <c r="D516" t="s">
        <v>1129</v>
      </c>
      <c r="E516" t="s">
        <v>94</v>
      </c>
      <c r="F516" t="s">
        <v>24</v>
      </c>
      <c r="G516">
        <v>53</v>
      </c>
      <c r="H516" t="s">
        <v>85</v>
      </c>
      <c r="I516" t="s">
        <v>26</v>
      </c>
      <c r="J516" t="s">
        <v>111</v>
      </c>
      <c r="K516" t="s">
        <v>58</v>
      </c>
      <c r="L516">
        <v>1</v>
      </c>
      <c r="M516">
        <v>127000</v>
      </c>
      <c r="N516">
        <v>7</v>
      </c>
      <c r="O516">
        <v>118110</v>
      </c>
      <c r="P516">
        <v>12912.03</v>
      </c>
      <c r="Q516" t="s">
        <v>59</v>
      </c>
      <c r="R516" t="s">
        <v>38</v>
      </c>
      <c r="S516" t="s">
        <v>61</v>
      </c>
      <c r="T516" t="s">
        <v>40</v>
      </c>
    </row>
    <row r="517" spans="1:20" x14ac:dyDescent="0.25">
      <c r="A517" t="s">
        <v>20</v>
      </c>
      <c r="B517" t="s">
        <v>1130</v>
      </c>
      <c r="C517" s="1">
        <v>45790</v>
      </c>
      <c r="D517" t="s">
        <v>1131</v>
      </c>
      <c r="E517" t="s">
        <v>270</v>
      </c>
      <c r="F517" t="s">
        <v>55</v>
      </c>
      <c r="G517">
        <v>120</v>
      </c>
      <c r="H517" t="s">
        <v>73</v>
      </c>
      <c r="I517" t="s">
        <v>26</v>
      </c>
      <c r="J517" t="s">
        <v>77</v>
      </c>
      <c r="K517" t="s">
        <v>58</v>
      </c>
      <c r="L517">
        <v>1</v>
      </c>
      <c r="M517">
        <v>194000</v>
      </c>
      <c r="N517">
        <v>5</v>
      </c>
      <c r="O517">
        <v>184300</v>
      </c>
      <c r="P517">
        <v>16424.41</v>
      </c>
      <c r="Q517" t="s">
        <v>46</v>
      </c>
      <c r="R517" t="s">
        <v>30</v>
      </c>
      <c r="S517" t="s">
        <v>61</v>
      </c>
      <c r="T517" t="s">
        <v>32</v>
      </c>
    </row>
    <row r="518" spans="1:20" x14ac:dyDescent="0.25">
      <c r="A518" t="s">
        <v>20</v>
      </c>
      <c r="B518" t="s">
        <v>1132</v>
      </c>
      <c r="C518" s="1">
        <v>45770</v>
      </c>
      <c r="D518" t="s">
        <v>1133</v>
      </c>
      <c r="E518" t="s">
        <v>43</v>
      </c>
      <c r="F518" t="s">
        <v>24</v>
      </c>
      <c r="G518">
        <v>27</v>
      </c>
      <c r="H518" t="s">
        <v>56</v>
      </c>
      <c r="I518" t="s">
        <v>26</v>
      </c>
      <c r="J518" t="s">
        <v>36</v>
      </c>
      <c r="K518" t="s">
        <v>28</v>
      </c>
      <c r="L518">
        <v>2</v>
      </c>
      <c r="M518">
        <v>113000</v>
      </c>
      <c r="N518">
        <v>7</v>
      </c>
      <c r="O518">
        <v>210180</v>
      </c>
      <c r="P518">
        <v>10785.14</v>
      </c>
      <c r="Q518" t="s">
        <v>37</v>
      </c>
      <c r="R518" t="s">
        <v>30</v>
      </c>
      <c r="S518" t="s">
        <v>39</v>
      </c>
      <c r="T518" t="s">
        <v>40</v>
      </c>
    </row>
    <row r="519" spans="1:20" x14ac:dyDescent="0.25">
      <c r="A519" t="s">
        <v>20</v>
      </c>
      <c r="B519" t="s">
        <v>1134</v>
      </c>
      <c r="C519" s="1">
        <v>46261</v>
      </c>
      <c r="D519" t="s">
        <v>1135</v>
      </c>
      <c r="E519" t="s">
        <v>80</v>
      </c>
      <c r="F519" t="s">
        <v>24</v>
      </c>
      <c r="G519">
        <v>0</v>
      </c>
      <c r="H519" t="s">
        <v>51</v>
      </c>
      <c r="I519" t="s">
        <v>26</v>
      </c>
      <c r="J519" t="s">
        <v>64</v>
      </c>
      <c r="K519" t="s">
        <v>101</v>
      </c>
      <c r="L519">
        <v>1</v>
      </c>
      <c r="M519">
        <v>123000</v>
      </c>
      <c r="N519">
        <v>2</v>
      </c>
      <c r="O519">
        <v>120540</v>
      </c>
      <c r="P519">
        <v>22502.02</v>
      </c>
      <c r="Q519" t="s">
        <v>52</v>
      </c>
      <c r="R519" t="s">
        <v>96</v>
      </c>
      <c r="S519" t="s">
        <v>61</v>
      </c>
      <c r="T519" t="s">
        <v>40</v>
      </c>
    </row>
    <row r="520" spans="1:20" x14ac:dyDescent="0.25">
      <c r="A520" t="s">
        <v>20</v>
      </c>
      <c r="B520" t="s">
        <v>1136</v>
      </c>
      <c r="C520" s="1">
        <v>46244</v>
      </c>
      <c r="D520" t="s">
        <v>1137</v>
      </c>
      <c r="E520" t="s">
        <v>35</v>
      </c>
      <c r="F520" t="s">
        <v>24</v>
      </c>
      <c r="G520">
        <v>39</v>
      </c>
      <c r="H520" t="s">
        <v>108</v>
      </c>
      <c r="I520" t="s">
        <v>26</v>
      </c>
      <c r="J520" t="s">
        <v>118</v>
      </c>
      <c r="K520" t="s">
        <v>58</v>
      </c>
      <c r="L520">
        <v>1</v>
      </c>
      <c r="M520">
        <v>83000</v>
      </c>
      <c r="N520">
        <v>0</v>
      </c>
      <c r="O520">
        <v>83000</v>
      </c>
      <c r="P520">
        <v>14100.95</v>
      </c>
      <c r="Q520" t="s">
        <v>46</v>
      </c>
      <c r="R520" t="s">
        <v>96</v>
      </c>
      <c r="S520" t="s">
        <v>31</v>
      </c>
      <c r="T520" t="s">
        <v>40</v>
      </c>
    </row>
    <row r="521" spans="1:20" x14ac:dyDescent="0.25">
      <c r="A521" t="s">
        <v>20</v>
      </c>
      <c r="B521" t="s">
        <v>1138</v>
      </c>
      <c r="C521" s="1">
        <v>46077</v>
      </c>
      <c r="D521" t="s">
        <v>1139</v>
      </c>
      <c r="E521" t="s">
        <v>50</v>
      </c>
      <c r="F521" t="s">
        <v>24</v>
      </c>
      <c r="G521">
        <v>44</v>
      </c>
      <c r="H521" t="s">
        <v>85</v>
      </c>
      <c r="I521" t="s">
        <v>26</v>
      </c>
      <c r="J521" t="s">
        <v>57</v>
      </c>
      <c r="K521" t="s">
        <v>101</v>
      </c>
      <c r="L521">
        <v>1</v>
      </c>
      <c r="M521">
        <v>177000</v>
      </c>
      <c r="N521">
        <v>3</v>
      </c>
      <c r="O521">
        <v>171690</v>
      </c>
      <c r="P521">
        <v>31732.95</v>
      </c>
      <c r="Q521" t="s">
        <v>906</v>
      </c>
      <c r="R521" t="s">
        <v>38</v>
      </c>
      <c r="S521" t="s">
        <v>61</v>
      </c>
      <c r="T521" t="s">
        <v>40</v>
      </c>
    </row>
    <row r="522" spans="1:20" x14ac:dyDescent="0.25">
      <c r="A522" t="s">
        <v>20</v>
      </c>
      <c r="B522" t="s">
        <v>1140</v>
      </c>
      <c r="C522" s="1">
        <v>45974</v>
      </c>
      <c r="D522" t="s">
        <v>1141</v>
      </c>
      <c r="E522" t="s">
        <v>23</v>
      </c>
      <c r="F522" t="s">
        <v>55</v>
      </c>
      <c r="G522">
        <v>55</v>
      </c>
      <c r="H522" t="s">
        <v>73</v>
      </c>
      <c r="I522" t="s">
        <v>26</v>
      </c>
      <c r="J522" t="s">
        <v>27</v>
      </c>
      <c r="K522" t="s">
        <v>68</v>
      </c>
      <c r="L522">
        <v>1</v>
      </c>
      <c r="M522">
        <v>96000</v>
      </c>
      <c r="N522">
        <v>10</v>
      </c>
      <c r="O522">
        <v>86400</v>
      </c>
      <c r="P522">
        <v>2348.25</v>
      </c>
      <c r="Q522" t="s">
        <v>105</v>
      </c>
      <c r="R522" t="s">
        <v>96</v>
      </c>
      <c r="S522" t="s">
        <v>47</v>
      </c>
      <c r="T522" t="s">
        <v>32</v>
      </c>
    </row>
    <row r="523" spans="1:20" x14ac:dyDescent="0.25">
      <c r="A523" t="s">
        <v>20</v>
      </c>
      <c r="B523" t="s">
        <v>1142</v>
      </c>
      <c r="C523" s="1">
        <v>46251</v>
      </c>
      <c r="D523" t="s">
        <v>1143</v>
      </c>
      <c r="E523" t="s">
        <v>23</v>
      </c>
      <c r="F523" t="s">
        <v>24</v>
      </c>
      <c r="G523">
        <v>48</v>
      </c>
      <c r="H523" t="s">
        <v>73</v>
      </c>
      <c r="I523" t="s">
        <v>26</v>
      </c>
      <c r="J523" t="s">
        <v>27</v>
      </c>
      <c r="K523" t="s">
        <v>58</v>
      </c>
      <c r="L523">
        <v>2</v>
      </c>
      <c r="M523">
        <v>95000</v>
      </c>
      <c r="N523">
        <v>2</v>
      </c>
      <c r="O523">
        <v>186200</v>
      </c>
      <c r="P523">
        <v>32407.46</v>
      </c>
      <c r="Q523" t="s">
        <v>105</v>
      </c>
      <c r="R523" t="s">
        <v>38</v>
      </c>
      <c r="S523" t="s">
        <v>69</v>
      </c>
      <c r="T523" t="s">
        <v>40</v>
      </c>
    </row>
    <row r="524" spans="1:20" x14ac:dyDescent="0.25">
      <c r="A524" t="s">
        <v>20</v>
      </c>
      <c r="B524" t="s">
        <v>1144</v>
      </c>
      <c r="C524" s="1">
        <v>45751</v>
      </c>
      <c r="D524" t="s">
        <v>1145</v>
      </c>
      <c r="E524" t="s">
        <v>23</v>
      </c>
      <c r="F524" t="s">
        <v>55</v>
      </c>
      <c r="G524">
        <v>27</v>
      </c>
      <c r="H524" t="s">
        <v>73</v>
      </c>
      <c r="I524" t="s">
        <v>26</v>
      </c>
      <c r="J524" t="s">
        <v>77</v>
      </c>
      <c r="K524" t="s">
        <v>101</v>
      </c>
      <c r="L524">
        <v>1</v>
      </c>
      <c r="M524">
        <v>196000</v>
      </c>
      <c r="N524">
        <v>3</v>
      </c>
      <c r="O524">
        <v>190120</v>
      </c>
      <c r="P524">
        <v>28255.1</v>
      </c>
      <c r="Q524" t="s">
        <v>37</v>
      </c>
      <c r="R524" t="s">
        <v>96</v>
      </c>
      <c r="S524" t="s">
        <v>39</v>
      </c>
      <c r="T524" t="s">
        <v>32</v>
      </c>
    </row>
    <row r="525" spans="1:20" x14ac:dyDescent="0.25">
      <c r="A525" t="s">
        <v>20</v>
      </c>
      <c r="B525" t="s">
        <v>1146</v>
      </c>
      <c r="C525" s="1">
        <v>45991</v>
      </c>
      <c r="D525" t="s">
        <v>1147</v>
      </c>
      <c r="E525" t="s">
        <v>80</v>
      </c>
      <c r="F525" t="s">
        <v>55</v>
      </c>
      <c r="G525">
        <v>31</v>
      </c>
      <c r="H525" t="s">
        <v>51</v>
      </c>
      <c r="I525" t="s">
        <v>26</v>
      </c>
      <c r="J525" t="s">
        <v>121</v>
      </c>
      <c r="K525" t="s">
        <v>101</v>
      </c>
      <c r="L525">
        <v>2</v>
      </c>
      <c r="M525">
        <v>100000</v>
      </c>
      <c r="N525">
        <v>2</v>
      </c>
      <c r="O525">
        <v>196000</v>
      </c>
      <c r="P525">
        <v>38586.07</v>
      </c>
      <c r="Q525" t="s">
        <v>105</v>
      </c>
      <c r="R525" t="s">
        <v>30</v>
      </c>
      <c r="S525" t="s">
        <v>39</v>
      </c>
      <c r="T525" t="s">
        <v>32</v>
      </c>
    </row>
    <row r="526" spans="1:20" x14ac:dyDescent="0.25">
      <c r="A526" t="s">
        <v>20</v>
      </c>
      <c r="B526" t="s">
        <v>1148</v>
      </c>
      <c r="C526" s="1">
        <v>46269</v>
      </c>
      <c r="D526" t="s">
        <v>1149</v>
      </c>
      <c r="E526" t="s">
        <v>137</v>
      </c>
      <c r="F526" t="s">
        <v>24</v>
      </c>
      <c r="G526">
        <v>35</v>
      </c>
      <c r="H526" t="s">
        <v>56</v>
      </c>
      <c r="I526" t="s">
        <v>26</v>
      </c>
      <c r="J526" t="s">
        <v>77</v>
      </c>
      <c r="K526" t="s">
        <v>28</v>
      </c>
      <c r="L526">
        <v>1</v>
      </c>
      <c r="M526">
        <v>193000</v>
      </c>
      <c r="N526">
        <v>0</v>
      </c>
      <c r="O526">
        <v>193000</v>
      </c>
      <c r="P526">
        <v>37768.720000000001</v>
      </c>
      <c r="Q526" t="s">
        <v>74</v>
      </c>
      <c r="R526" t="s">
        <v>30</v>
      </c>
      <c r="S526" t="s">
        <v>39</v>
      </c>
      <c r="T526" t="s">
        <v>40</v>
      </c>
    </row>
    <row r="527" spans="1:20" x14ac:dyDescent="0.25">
      <c r="A527" t="s">
        <v>20</v>
      </c>
      <c r="B527" t="s">
        <v>1150</v>
      </c>
      <c r="C527" s="1">
        <v>45677</v>
      </c>
      <c r="D527" t="s">
        <v>1151</v>
      </c>
      <c r="E527" t="s">
        <v>23</v>
      </c>
      <c r="F527" t="s">
        <v>55</v>
      </c>
      <c r="G527">
        <v>37</v>
      </c>
      <c r="H527" t="s">
        <v>95</v>
      </c>
      <c r="I527" t="s">
        <v>26</v>
      </c>
      <c r="J527" t="s">
        <v>36</v>
      </c>
      <c r="K527" t="s">
        <v>68</v>
      </c>
      <c r="L527">
        <v>1</v>
      </c>
      <c r="M527">
        <v>113000</v>
      </c>
      <c r="N527">
        <v>5</v>
      </c>
      <c r="O527">
        <v>107350</v>
      </c>
      <c r="P527">
        <v>10619.18</v>
      </c>
      <c r="Q527" t="s">
        <v>74</v>
      </c>
      <c r="R527" t="s">
        <v>38</v>
      </c>
      <c r="S527" t="s">
        <v>47</v>
      </c>
      <c r="T527" t="s">
        <v>32</v>
      </c>
    </row>
    <row r="528" spans="1:20" x14ac:dyDescent="0.25">
      <c r="A528" t="s">
        <v>20</v>
      </c>
      <c r="B528" t="s">
        <v>1152</v>
      </c>
      <c r="C528" s="1">
        <v>45830</v>
      </c>
      <c r="D528" t="s">
        <v>1153</v>
      </c>
      <c r="E528" t="s">
        <v>94</v>
      </c>
      <c r="F528" t="s">
        <v>24</v>
      </c>
      <c r="G528">
        <v>35</v>
      </c>
      <c r="H528" t="s">
        <v>44</v>
      </c>
      <c r="I528" t="s">
        <v>26</v>
      </c>
      <c r="J528" t="s">
        <v>36</v>
      </c>
      <c r="K528" t="s">
        <v>28</v>
      </c>
      <c r="L528">
        <v>1</v>
      </c>
      <c r="M528">
        <v>114000</v>
      </c>
      <c r="N528">
        <v>3</v>
      </c>
      <c r="O528">
        <v>110580</v>
      </c>
      <c r="P528">
        <v>14266.78</v>
      </c>
      <c r="Q528" t="s">
        <v>105</v>
      </c>
      <c r="R528" t="s">
        <v>38</v>
      </c>
      <c r="S528" t="s">
        <v>87</v>
      </c>
      <c r="T528" t="s">
        <v>40</v>
      </c>
    </row>
    <row r="529" spans="1:20" x14ac:dyDescent="0.25">
      <c r="A529" t="s">
        <v>20</v>
      </c>
      <c r="B529" t="s">
        <v>1154</v>
      </c>
      <c r="C529" s="1">
        <v>46047</v>
      </c>
      <c r="D529" t="s">
        <v>1155</v>
      </c>
      <c r="E529" t="s">
        <v>50</v>
      </c>
      <c r="F529" t="s">
        <v>24</v>
      </c>
      <c r="G529">
        <v>42</v>
      </c>
      <c r="H529" t="s">
        <v>25</v>
      </c>
      <c r="I529" t="s">
        <v>26</v>
      </c>
      <c r="J529" t="s">
        <v>45</v>
      </c>
      <c r="K529" t="s">
        <v>28</v>
      </c>
      <c r="L529">
        <v>1</v>
      </c>
      <c r="M529">
        <v>98000</v>
      </c>
      <c r="N529">
        <v>3</v>
      </c>
      <c r="O529">
        <v>95060</v>
      </c>
      <c r="P529">
        <v>11589.08</v>
      </c>
      <c r="Q529" t="s">
        <v>37</v>
      </c>
      <c r="R529" t="s">
        <v>30</v>
      </c>
      <c r="S529" t="s">
        <v>39</v>
      </c>
      <c r="T529" t="s">
        <v>32</v>
      </c>
    </row>
    <row r="530" spans="1:20" x14ac:dyDescent="0.25">
      <c r="A530" t="s">
        <v>20</v>
      </c>
      <c r="B530" t="s">
        <v>1156</v>
      </c>
      <c r="C530" s="1">
        <v>46100</v>
      </c>
      <c r="D530" t="s">
        <v>1157</v>
      </c>
      <c r="E530" t="s">
        <v>43</v>
      </c>
      <c r="F530" t="s">
        <v>24</v>
      </c>
      <c r="G530">
        <v>33</v>
      </c>
      <c r="H530" t="s">
        <v>108</v>
      </c>
      <c r="I530" t="s">
        <v>26</v>
      </c>
      <c r="J530" t="s">
        <v>77</v>
      </c>
      <c r="K530" t="s">
        <v>101</v>
      </c>
      <c r="L530">
        <v>1</v>
      </c>
      <c r="M530">
        <v>197000</v>
      </c>
      <c r="N530">
        <v>7</v>
      </c>
      <c r="O530">
        <v>183210</v>
      </c>
      <c r="P530">
        <v>5937.87</v>
      </c>
      <c r="Q530" t="s">
        <v>105</v>
      </c>
      <c r="R530" t="s">
        <v>60</v>
      </c>
      <c r="S530" t="s">
        <v>31</v>
      </c>
      <c r="T530" t="s">
        <v>40</v>
      </c>
    </row>
    <row r="531" spans="1:20" x14ac:dyDescent="0.25">
      <c r="A531" t="s">
        <v>20</v>
      </c>
      <c r="B531" t="s">
        <v>1158</v>
      </c>
      <c r="C531" s="1">
        <v>45794</v>
      </c>
      <c r="D531" t="s">
        <v>1159</v>
      </c>
      <c r="E531" t="s">
        <v>35</v>
      </c>
      <c r="F531" t="s">
        <v>55</v>
      </c>
      <c r="G531">
        <v>20</v>
      </c>
      <c r="H531" t="s">
        <v>44</v>
      </c>
      <c r="I531" t="s">
        <v>26</v>
      </c>
      <c r="J531" t="s">
        <v>64</v>
      </c>
      <c r="K531" t="s">
        <v>28</v>
      </c>
      <c r="L531">
        <v>1</v>
      </c>
      <c r="M531">
        <v>126000</v>
      </c>
      <c r="N531">
        <v>3</v>
      </c>
      <c r="O531">
        <v>122220</v>
      </c>
      <c r="P531">
        <v>23699.98</v>
      </c>
      <c r="Q531" t="s">
        <v>37</v>
      </c>
      <c r="R531" t="s">
        <v>38</v>
      </c>
      <c r="S531" t="s">
        <v>87</v>
      </c>
      <c r="T531" t="s">
        <v>40</v>
      </c>
    </row>
    <row r="532" spans="1:20" x14ac:dyDescent="0.25">
      <c r="A532" t="s">
        <v>20</v>
      </c>
      <c r="B532" t="s">
        <v>1160</v>
      </c>
      <c r="C532" s="1">
        <v>45689</v>
      </c>
      <c r="D532" t="s">
        <v>1161</v>
      </c>
      <c r="E532" t="s">
        <v>23</v>
      </c>
      <c r="F532" t="s">
        <v>24</v>
      </c>
      <c r="G532">
        <v>48</v>
      </c>
      <c r="H532" t="s">
        <v>197</v>
      </c>
      <c r="I532" t="s">
        <v>26</v>
      </c>
      <c r="J532" t="s">
        <v>77</v>
      </c>
      <c r="K532" t="s">
        <v>58</v>
      </c>
      <c r="L532">
        <v>1</v>
      </c>
      <c r="M532">
        <v>197000</v>
      </c>
      <c r="N532">
        <v>10</v>
      </c>
      <c r="O532">
        <v>177300</v>
      </c>
      <c r="P532">
        <v>21807.35</v>
      </c>
      <c r="Q532" t="s">
        <v>86</v>
      </c>
      <c r="R532" t="s">
        <v>38</v>
      </c>
      <c r="S532" t="s">
        <v>31</v>
      </c>
      <c r="T532" t="s">
        <v>32</v>
      </c>
    </row>
    <row r="533" spans="1:20" x14ac:dyDescent="0.25">
      <c r="A533" t="s">
        <v>20</v>
      </c>
      <c r="B533" t="s">
        <v>1162</v>
      </c>
      <c r="C533" s="1">
        <v>45678</v>
      </c>
      <c r="D533" t="s">
        <v>1163</v>
      </c>
      <c r="E533" t="s">
        <v>43</v>
      </c>
      <c r="F533" t="s">
        <v>55</v>
      </c>
      <c r="G533">
        <v>37</v>
      </c>
      <c r="H533" t="s">
        <v>85</v>
      </c>
      <c r="I533" t="s">
        <v>26</v>
      </c>
      <c r="J533" t="s">
        <v>27</v>
      </c>
      <c r="K533" t="s">
        <v>28</v>
      </c>
      <c r="L533">
        <v>1</v>
      </c>
      <c r="M533">
        <v>94000</v>
      </c>
      <c r="N533">
        <v>5</v>
      </c>
      <c r="O533">
        <v>89300</v>
      </c>
      <c r="P533">
        <v>15874.38</v>
      </c>
      <c r="Q533" t="s">
        <v>74</v>
      </c>
      <c r="R533" t="s">
        <v>96</v>
      </c>
      <c r="S533" t="s">
        <v>31</v>
      </c>
      <c r="T533" t="s">
        <v>40</v>
      </c>
    </row>
    <row r="534" spans="1:20" x14ac:dyDescent="0.25">
      <c r="A534" t="s">
        <v>20</v>
      </c>
      <c r="B534" t="s">
        <v>1164</v>
      </c>
      <c r="C534" s="1">
        <v>45665</v>
      </c>
      <c r="D534" t="s">
        <v>1165</v>
      </c>
      <c r="E534" t="s">
        <v>94</v>
      </c>
      <c r="F534" t="s">
        <v>55</v>
      </c>
      <c r="G534">
        <v>32</v>
      </c>
      <c r="H534" t="s">
        <v>25</v>
      </c>
      <c r="I534" t="s">
        <v>26</v>
      </c>
      <c r="J534" t="s">
        <v>64</v>
      </c>
      <c r="K534" t="s">
        <v>101</v>
      </c>
      <c r="L534">
        <v>1</v>
      </c>
      <c r="M534">
        <v>127000</v>
      </c>
      <c r="N534">
        <v>10</v>
      </c>
      <c r="O534">
        <v>114300</v>
      </c>
      <c r="P534">
        <v>6004.15</v>
      </c>
      <c r="Q534" t="s">
        <v>105</v>
      </c>
      <c r="R534" t="s">
        <v>96</v>
      </c>
      <c r="S534" t="s">
        <v>87</v>
      </c>
      <c r="T534" t="s">
        <v>32</v>
      </c>
    </row>
    <row r="535" spans="1:20" x14ac:dyDescent="0.25">
      <c r="A535" t="s">
        <v>20</v>
      </c>
      <c r="B535" t="s">
        <v>1166</v>
      </c>
      <c r="C535" s="1">
        <v>45923</v>
      </c>
      <c r="D535" t="s">
        <v>1167</v>
      </c>
      <c r="E535" t="s">
        <v>72</v>
      </c>
      <c r="F535" t="s">
        <v>55</v>
      </c>
      <c r="G535">
        <v>34</v>
      </c>
      <c r="H535" t="s">
        <v>73</v>
      </c>
      <c r="I535" t="s">
        <v>26</v>
      </c>
      <c r="J535" t="s">
        <v>81</v>
      </c>
      <c r="K535" t="s">
        <v>28</v>
      </c>
      <c r="L535">
        <v>1</v>
      </c>
      <c r="M535">
        <v>234000</v>
      </c>
      <c r="N535">
        <v>10</v>
      </c>
      <c r="O535">
        <v>210600</v>
      </c>
      <c r="P535">
        <v>26253.42</v>
      </c>
      <c r="Q535" t="s">
        <v>74</v>
      </c>
      <c r="R535" t="s">
        <v>38</v>
      </c>
      <c r="S535" t="s">
        <v>69</v>
      </c>
      <c r="T535" t="s">
        <v>40</v>
      </c>
    </row>
    <row r="536" spans="1:20" x14ac:dyDescent="0.25">
      <c r="A536" t="s">
        <v>20</v>
      </c>
      <c r="B536" t="s">
        <v>1168</v>
      </c>
      <c r="C536" s="1">
        <v>46188</v>
      </c>
      <c r="D536" t="s">
        <v>1169</v>
      </c>
      <c r="E536" t="s">
        <v>35</v>
      </c>
      <c r="F536" t="s">
        <v>24</v>
      </c>
      <c r="G536">
        <v>49</v>
      </c>
      <c r="H536" t="s">
        <v>56</v>
      </c>
      <c r="I536" t="s">
        <v>26</v>
      </c>
      <c r="J536" t="s">
        <v>118</v>
      </c>
      <c r="K536" t="s">
        <v>28</v>
      </c>
      <c r="L536">
        <v>1</v>
      </c>
      <c r="M536">
        <v>85000</v>
      </c>
      <c r="N536">
        <v>3</v>
      </c>
      <c r="O536">
        <v>82450</v>
      </c>
      <c r="P536">
        <v>14908.48</v>
      </c>
      <c r="Q536" t="s">
        <v>52</v>
      </c>
      <c r="R536" t="s">
        <v>30</v>
      </c>
      <c r="S536" t="s">
        <v>39</v>
      </c>
      <c r="T536" t="s">
        <v>40</v>
      </c>
    </row>
    <row r="537" spans="1:20" x14ac:dyDescent="0.25">
      <c r="A537" t="s">
        <v>20</v>
      </c>
      <c r="B537" t="s">
        <v>1170</v>
      </c>
      <c r="C537" s="1">
        <v>46243</v>
      </c>
      <c r="D537" t="s">
        <v>1171</v>
      </c>
      <c r="E537" t="s">
        <v>50</v>
      </c>
      <c r="F537" t="s">
        <v>24</v>
      </c>
      <c r="G537">
        <v>21</v>
      </c>
      <c r="H537" t="s">
        <v>85</v>
      </c>
      <c r="I537" t="s">
        <v>26</v>
      </c>
      <c r="J537" t="s">
        <v>36</v>
      </c>
      <c r="K537" t="s">
        <v>28</v>
      </c>
      <c r="L537">
        <v>1</v>
      </c>
      <c r="M537">
        <v>115000</v>
      </c>
      <c r="N537">
        <v>2</v>
      </c>
      <c r="O537">
        <v>112700</v>
      </c>
      <c r="P537">
        <v>18381.060000000001</v>
      </c>
      <c r="Q537" t="s">
        <v>52</v>
      </c>
      <c r="R537" t="s">
        <v>96</v>
      </c>
      <c r="S537" t="s">
        <v>31</v>
      </c>
      <c r="T537" t="s">
        <v>40</v>
      </c>
    </row>
    <row r="538" spans="1:20" x14ac:dyDescent="0.25">
      <c r="A538" t="s">
        <v>20</v>
      </c>
      <c r="B538" t="s">
        <v>1172</v>
      </c>
      <c r="C538" s="1">
        <v>45682</v>
      </c>
      <c r="D538" t="s">
        <v>1173</v>
      </c>
      <c r="E538" t="s">
        <v>72</v>
      </c>
      <c r="F538" t="s">
        <v>55</v>
      </c>
      <c r="G538">
        <v>41</v>
      </c>
      <c r="H538" t="s">
        <v>108</v>
      </c>
      <c r="I538" t="s">
        <v>26</v>
      </c>
      <c r="J538" t="s">
        <v>104</v>
      </c>
      <c r="K538" t="s">
        <v>28</v>
      </c>
      <c r="L538">
        <v>1</v>
      </c>
      <c r="M538">
        <v>168000</v>
      </c>
      <c r="N538">
        <v>0</v>
      </c>
      <c r="O538">
        <v>168000</v>
      </c>
      <c r="P538">
        <v>27283.88</v>
      </c>
      <c r="Q538" t="s">
        <v>46</v>
      </c>
      <c r="R538" t="s">
        <v>96</v>
      </c>
      <c r="S538" t="s">
        <v>39</v>
      </c>
      <c r="T538" t="s">
        <v>32</v>
      </c>
    </row>
    <row r="539" spans="1:20" x14ac:dyDescent="0.25">
      <c r="A539" t="s">
        <v>20</v>
      </c>
      <c r="B539" t="s">
        <v>1174</v>
      </c>
      <c r="C539" s="1">
        <v>45755</v>
      </c>
      <c r="D539" t="s">
        <v>1175</v>
      </c>
      <c r="E539" t="s">
        <v>23</v>
      </c>
      <c r="F539" t="s">
        <v>55</v>
      </c>
      <c r="G539">
        <v>75</v>
      </c>
      <c r="H539" t="s">
        <v>44</v>
      </c>
      <c r="I539" t="s">
        <v>26</v>
      </c>
      <c r="J539" t="s">
        <v>64</v>
      </c>
      <c r="K539" t="s">
        <v>28</v>
      </c>
      <c r="L539">
        <v>2</v>
      </c>
      <c r="M539">
        <v>126000</v>
      </c>
      <c r="N539">
        <v>7</v>
      </c>
      <c r="O539">
        <v>234360</v>
      </c>
      <c r="P539">
        <v>24538.87</v>
      </c>
      <c r="Q539" t="s">
        <v>105</v>
      </c>
      <c r="R539" t="s">
        <v>38</v>
      </c>
      <c r="S539" t="s">
        <v>39</v>
      </c>
      <c r="T539" t="s">
        <v>32</v>
      </c>
    </row>
    <row r="540" spans="1:20" x14ac:dyDescent="0.25">
      <c r="A540" t="s">
        <v>20</v>
      </c>
      <c r="B540" t="s">
        <v>1176</v>
      </c>
      <c r="C540" s="1">
        <v>46100</v>
      </c>
      <c r="D540" t="s">
        <v>1177</v>
      </c>
      <c r="E540" t="s">
        <v>23</v>
      </c>
      <c r="F540" t="s">
        <v>55</v>
      </c>
      <c r="G540">
        <v>24</v>
      </c>
      <c r="H540" t="s">
        <v>25</v>
      </c>
      <c r="I540" t="s">
        <v>26</v>
      </c>
      <c r="J540" t="s">
        <v>45</v>
      </c>
      <c r="K540" t="s">
        <v>28</v>
      </c>
      <c r="L540">
        <v>2</v>
      </c>
      <c r="M540">
        <v>98000</v>
      </c>
      <c r="N540">
        <v>0</v>
      </c>
      <c r="O540">
        <v>196000</v>
      </c>
      <c r="P540">
        <v>36029.4</v>
      </c>
      <c r="Q540" t="s">
        <v>380</v>
      </c>
      <c r="R540" t="s">
        <v>38</v>
      </c>
      <c r="S540" t="s">
        <v>47</v>
      </c>
      <c r="T540" t="s">
        <v>32</v>
      </c>
    </row>
    <row r="541" spans="1:20" x14ac:dyDescent="0.25">
      <c r="A541" t="s">
        <v>20</v>
      </c>
      <c r="B541" t="s">
        <v>1178</v>
      </c>
      <c r="C541" s="1">
        <v>46122</v>
      </c>
      <c r="D541" t="s">
        <v>1179</v>
      </c>
      <c r="E541" t="s">
        <v>137</v>
      </c>
      <c r="F541" t="s">
        <v>24</v>
      </c>
      <c r="G541">
        <v>44</v>
      </c>
      <c r="H541" t="s">
        <v>95</v>
      </c>
      <c r="I541" t="s">
        <v>26</v>
      </c>
      <c r="J541" t="s">
        <v>81</v>
      </c>
      <c r="K541" t="s">
        <v>28</v>
      </c>
      <c r="L541">
        <v>1</v>
      </c>
      <c r="M541">
        <v>236000</v>
      </c>
      <c r="N541">
        <v>10</v>
      </c>
      <c r="O541">
        <v>212400</v>
      </c>
      <c r="P541">
        <v>10648.09</v>
      </c>
      <c r="Q541" t="s">
        <v>86</v>
      </c>
      <c r="R541" t="s">
        <v>30</v>
      </c>
      <c r="S541" t="s">
        <v>47</v>
      </c>
      <c r="T541" t="s">
        <v>40</v>
      </c>
    </row>
    <row r="542" spans="1:20" x14ac:dyDescent="0.25">
      <c r="A542" t="s">
        <v>20</v>
      </c>
      <c r="B542" t="s">
        <v>1180</v>
      </c>
      <c r="C542" s="1">
        <v>46265</v>
      </c>
      <c r="D542" t="s">
        <v>1181</v>
      </c>
      <c r="E542" t="s">
        <v>129</v>
      </c>
      <c r="F542" t="s">
        <v>24</v>
      </c>
      <c r="G542">
        <v>32</v>
      </c>
      <c r="H542" t="s">
        <v>44</v>
      </c>
      <c r="I542" t="s">
        <v>26</v>
      </c>
      <c r="J542" t="s">
        <v>81</v>
      </c>
      <c r="K542" t="s">
        <v>101</v>
      </c>
      <c r="L542">
        <v>1</v>
      </c>
      <c r="M542">
        <v>233000</v>
      </c>
      <c r="N542">
        <v>7</v>
      </c>
      <c r="O542">
        <v>216690</v>
      </c>
      <c r="P542">
        <v>15006.15</v>
      </c>
      <c r="Q542" t="s">
        <v>59</v>
      </c>
      <c r="R542" t="s">
        <v>38</v>
      </c>
      <c r="S542" t="s">
        <v>61</v>
      </c>
      <c r="T542" t="s">
        <v>40</v>
      </c>
    </row>
    <row r="543" spans="1:20" x14ac:dyDescent="0.25">
      <c r="A543" t="s">
        <v>20</v>
      </c>
      <c r="B543" t="s">
        <v>1182</v>
      </c>
      <c r="C543" s="1">
        <v>46256</v>
      </c>
      <c r="D543" t="s">
        <v>1183</v>
      </c>
      <c r="E543" t="s">
        <v>43</v>
      </c>
      <c r="F543" t="s">
        <v>24</v>
      </c>
      <c r="G543">
        <v>47</v>
      </c>
      <c r="H543" t="s">
        <v>44</v>
      </c>
      <c r="I543" t="s">
        <v>26</v>
      </c>
      <c r="J543" t="s">
        <v>45</v>
      </c>
      <c r="K543" t="s">
        <v>68</v>
      </c>
      <c r="L543">
        <v>1</v>
      </c>
      <c r="M543">
        <v>96000</v>
      </c>
      <c r="N543">
        <v>0</v>
      </c>
      <c r="O543">
        <v>96000</v>
      </c>
      <c r="P543">
        <v>19649.12</v>
      </c>
      <c r="Q543" t="s">
        <v>37</v>
      </c>
      <c r="R543" t="s">
        <v>126</v>
      </c>
      <c r="S543" t="s">
        <v>39</v>
      </c>
      <c r="T543" t="s">
        <v>40</v>
      </c>
    </row>
    <row r="544" spans="1:20" x14ac:dyDescent="0.25">
      <c r="A544" t="s">
        <v>20</v>
      </c>
      <c r="B544" t="s">
        <v>1184</v>
      </c>
      <c r="C544" s="1">
        <v>45806</v>
      </c>
      <c r="D544" t="s">
        <v>1185</v>
      </c>
      <c r="E544" t="s">
        <v>50</v>
      </c>
      <c r="F544" t="s">
        <v>55</v>
      </c>
      <c r="G544">
        <v>23</v>
      </c>
      <c r="H544" t="s">
        <v>56</v>
      </c>
      <c r="I544" t="s">
        <v>26</v>
      </c>
      <c r="J544" t="s">
        <v>104</v>
      </c>
      <c r="K544" t="s">
        <v>58</v>
      </c>
      <c r="L544">
        <v>2</v>
      </c>
      <c r="M544">
        <v>171000</v>
      </c>
      <c r="N544">
        <v>7</v>
      </c>
      <c r="O544">
        <v>318060</v>
      </c>
      <c r="P544">
        <v>24308.94</v>
      </c>
      <c r="Q544" t="s">
        <v>86</v>
      </c>
      <c r="R544" t="s">
        <v>96</v>
      </c>
      <c r="S544" t="s">
        <v>31</v>
      </c>
      <c r="T544" t="s">
        <v>32</v>
      </c>
    </row>
    <row r="545" spans="1:20" x14ac:dyDescent="0.25">
      <c r="A545" t="s">
        <v>20</v>
      </c>
      <c r="B545" t="s">
        <v>1186</v>
      </c>
      <c r="C545" s="1">
        <v>46136</v>
      </c>
      <c r="D545" t="s">
        <v>1187</v>
      </c>
      <c r="E545" t="s">
        <v>43</v>
      </c>
      <c r="F545" t="s">
        <v>24</v>
      </c>
      <c r="G545">
        <v>41</v>
      </c>
      <c r="H545" t="s">
        <v>56</v>
      </c>
      <c r="I545" t="s">
        <v>26</v>
      </c>
      <c r="J545" t="s">
        <v>27</v>
      </c>
      <c r="K545" t="s">
        <v>58</v>
      </c>
      <c r="L545">
        <v>1</v>
      </c>
      <c r="M545">
        <v>95000</v>
      </c>
      <c r="N545">
        <v>10</v>
      </c>
      <c r="O545">
        <v>85500</v>
      </c>
      <c r="P545">
        <v>3513.01</v>
      </c>
      <c r="Q545" t="s">
        <v>86</v>
      </c>
      <c r="R545" t="s">
        <v>96</v>
      </c>
      <c r="S545" t="s">
        <v>69</v>
      </c>
      <c r="T545" t="s">
        <v>40</v>
      </c>
    </row>
    <row r="546" spans="1:20" x14ac:dyDescent="0.25">
      <c r="A546" t="s">
        <v>20</v>
      </c>
      <c r="B546" t="s">
        <v>1188</v>
      </c>
      <c r="C546" s="1">
        <v>45893</v>
      </c>
      <c r="D546" t="s">
        <v>1189</v>
      </c>
      <c r="E546" t="s">
        <v>50</v>
      </c>
      <c r="F546" t="s">
        <v>55</v>
      </c>
      <c r="G546">
        <v>49</v>
      </c>
      <c r="H546" t="s">
        <v>85</v>
      </c>
      <c r="I546" t="s">
        <v>26</v>
      </c>
      <c r="J546" t="s">
        <v>118</v>
      </c>
      <c r="K546" t="s">
        <v>58</v>
      </c>
      <c r="L546">
        <v>1</v>
      </c>
      <c r="M546">
        <v>83000</v>
      </c>
      <c r="N546">
        <v>10</v>
      </c>
      <c r="O546">
        <v>74700</v>
      </c>
      <c r="P546">
        <v>7738.67</v>
      </c>
      <c r="Q546" t="s">
        <v>86</v>
      </c>
      <c r="R546" t="s">
        <v>38</v>
      </c>
      <c r="S546" t="s">
        <v>31</v>
      </c>
      <c r="T546" t="s">
        <v>40</v>
      </c>
    </row>
    <row r="547" spans="1:20" x14ac:dyDescent="0.25">
      <c r="A547" t="s">
        <v>20</v>
      </c>
      <c r="B547" t="s">
        <v>1190</v>
      </c>
      <c r="C547" s="1">
        <v>45775</v>
      </c>
      <c r="D547" t="s">
        <v>1191</v>
      </c>
      <c r="E547" t="s">
        <v>72</v>
      </c>
      <c r="F547" t="s">
        <v>24</v>
      </c>
      <c r="G547">
        <v>29</v>
      </c>
      <c r="H547" t="s">
        <v>25</v>
      </c>
      <c r="I547" t="s">
        <v>26</v>
      </c>
      <c r="J547" t="s">
        <v>45</v>
      </c>
      <c r="K547" t="s">
        <v>68</v>
      </c>
      <c r="L547">
        <v>1</v>
      </c>
      <c r="M547">
        <v>96000</v>
      </c>
      <c r="N547">
        <v>3</v>
      </c>
      <c r="O547">
        <v>93120</v>
      </c>
      <c r="P547">
        <v>17894.2</v>
      </c>
      <c r="Q547" t="s">
        <v>86</v>
      </c>
      <c r="R547" t="s">
        <v>30</v>
      </c>
      <c r="S547" t="s">
        <v>69</v>
      </c>
      <c r="T547" t="s">
        <v>32</v>
      </c>
    </row>
    <row r="548" spans="1:20" x14ac:dyDescent="0.25">
      <c r="A548" t="s">
        <v>20</v>
      </c>
      <c r="B548" t="s">
        <v>1192</v>
      </c>
      <c r="C548" s="1">
        <v>46225</v>
      </c>
      <c r="D548" t="s">
        <v>1193</v>
      </c>
      <c r="E548" t="s">
        <v>129</v>
      </c>
      <c r="F548" t="s">
        <v>55</v>
      </c>
      <c r="G548">
        <v>35</v>
      </c>
      <c r="H548" t="s">
        <v>51</v>
      </c>
      <c r="I548" t="s">
        <v>26</v>
      </c>
      <c r="J548" t="s">
        <v>111</v>
      </c>
      <c r="K548" t="s">
        <v>28</v>
      </c>
      <c r="L548">
        <v>1</v>
      </c>
      <c r="M548">
        <v>125000</v>
      </c>
      <c r="N548">
        <v>10</v>
      </c>
      <c r="O548">
        <v>112500</v>
      </c>
      <c r="P548">
        <v>12385.73</v>
      </c>
      <c r="Q548" t="s">
        <v>37</v>
      </c>
      <c r="R548" t="s">
        <v>60</v>
      </c>
      <c r="S548" t="s">
        <v>69</v>
      </c>
      <c r="T548" t="s">
        <v>32</v>
      </c>
    </row>
    <row r="549" spans="1:20" x14ac:dyDescent="0.25">
      <c r="A549" t="s">
        <v>20</v>
      </c>
      <c r="B549" t="s">
        <v>1194</v>
      </c>
      <c r="C549" s="1">
        <v>45970</v>
      </c>
      <c r="D549" t="s">
        <v>1195</v>
      </c>
      <c r="E549" t="s">
        <v>50</v>
      </c>
      <c r="F549" t="s">
        <v>24</v>
      </c>
      <c r="G549">
        <v>49</v>
      </c>
      <c r="H549" t="s">
        <v>95</v>
      </c>
      <c r="I549" t="s">
        <v>26</v>
      </c>
      <c r="J549" t="s">
        <v>45</v>
      </c>
      <c r="K549" t="s">
        <v>101</v>
      </c>
      <c r="L549">
        <v>1</v>
      </c>
      <c r="M549">
        <v>96000</v>
      </c>
      <c r="N549">
        <v>3</v>
      </c>
      <c r="O549">
        <v>93120</v>
      </c>
      <c r="P549">
        <v>7455.97</v>
      </c>
      <c r="Q549" t="s">
        <v>37</v>
      </c>
      <c r="R549" t="s">
        <v>38</v>
      </c>
      <c r="S549" t="s">
        <v>61</v>
      </c>
      <c r="T549" t="s">
        <v>32</v>
      </c>
    </row>
    <row r="550" spans="1:20" x14ac:dyDescent="0.25">
      <c r="A550" t="s">
        <v>20</v>
      </c>
      <c r="B550" t="s">
        <v>1196</v>
      </c>
      <c r="C550" s="1">
        <v>46045</v>
      </c>
      <c r="D550" t="s">
        <v>1197</v>
      </c>
      <c r="E550" t="s">
        <v>43</v>
      </c>
      <c r="F550" t="s">
        <v>24</v>
      </c>
      <c r="G550">
        <v>43</v>
      </c>
      <c r="H550" t="s">
        <v>73</v>
      </c>
      <c r="I550" t="s">
        <v>26</v>
      </c>
      <c r="J550" t="s">
        <v>27</v>
      </c>
      <c r="K550" t="s">
        <v>68</v>
      </c>
      <c r="L550">
        <v>2</v>
      </c>
      <c r="M550">
        <v>94000</v>
      </c>
      <c r="N550">
        <v>2</v>
      </c>
      <c r="O550">
        <v>184240</v>
      </c>
      <c r="P550">
        <v>33275.67</v>
      </c>
      <c r="Q550" t="s">
        <v>105</v>
      </c>
      <c r="R550" t="s">
        <v>96</v>
      </c>
      <c r="S550" t="s">
        <v>87</v>
      </c>
      <c r="T550" t="s">
        <v>40</v>
      </c>
    </row>
    <row r="551" spans="1:20" x14ac:dyDescent="0.25">
      <c r="A551" t="s">
        <v>20</v>
      </c>
      <c r="B551" t="s">
        <v>1198</v>
      </c>
      <c r="C551" s="1">
        <v>46178</v>
      </c>
      <c r="D551" t="s">
        <v>1199</v>
      </c>
      <c r="E551" t="s">
        <v>50</v>
      </c>
      <c r="F551" t="s">
        <v>55</v>
      </c>
      <c r="G551">
        <v>51</v>
      </c>
      <c r="H551" t="s">
        <v>56</v>
      </c>
      <c r="I551" t="s">
        <v>26</v>
      </c>
      <c r="J551" t="s">
        <v>45</v>
      </c>
      <c r="K551" t="s">
        <v>58</v>
      </c>
      <c r="L551">
        <v>1</v>
      </c>
      <c r="M551">
        <v>100000</v>
      </c>
      <c r="N551">
        <v>3</v>
      </c>
      <c r="O551">
        <v>97000</v>
      </c>
      <c r="P551">
        <v>8525.7800000000007</v>
      </c>
      <c r="Q551" t="s">
        <v>82</v>
      </c>
      <c r="R551" t="s">
        <v>96</v>
      </c>
      <c r="S551" t="s">
        <v>87</v>
      </c>
      <c r="T551" t="s">
        <v>40</v>
      </c>
    </row>
    <row r="552" spans="1:20" x14ac:dyDescent="0.25">
      <c r="A552" t="s">
        <v>20</v>
      </c>
      <c r="B552" t="s">
        <v>1200</v>
      </c>
      <c r="C552" s="1">
        <v>46040</v>
      </c>
      <c r="D552" t="s">
        <v>1201</v>
      </c>
      <c r="E552" t="s">
        <v>35</v>
      </c>
      <c r="F552" t="s">
        <v>24</v>
      </c>
      <c r="G552">
        <v>53</v>
      </c>
      <c r="H552" t="s">
        <v>56</v>
      </c>
      <c r="I552" t="s">
        <v>26</v>
      </c>
      <c r="J552" t="s">
        <v>36</v>
      </c>
      <c r="K552" t="s">
        <v>58</v>
      </c>
      <c r="L552">
        <v>1</v>
      </c>
      <c r="M552">
        <v>115000</v>
      </c>
      <c r="N552">
        <v>2</v>
      </c>
      <c r="O552">
        <v>112700</v>
      </c>
      <c r="P552">
        <v>18558.84</v>
      </c>
      <c r="Q552" t="s">
        <v>74</v>
      </c>
      <c r="R552" t="s">
        <v>38</v>
      </c>
      <c r="S552" t="s">
        <v>61</v>
      </c>
      <c r="T552" t="s">
        <v>32</v>
      </c>
    </row>
    <row r="553" spans="1:20" x14ac:dyDescent="0.25">
      <c r="A553" t="s">
        <v>20</v>
      </c>
      <c r="B553" t="s">
        <v>1202</v>
      </c>
      <c r="C553" s="1">
        <v>45971</v>
      </c>
      <c r="D553" t="s">
        <v>1203</v>
      </c>
      <c r="E553" t="s">
        <v>94</v>
      </c>
      <c r="F553" t="s">
        <v>55</v>
      </c>
      <c r="G553">
        <v>47</v>
      </c>
      <c r="H553" t="s">
        <v>44</v>
      </c>
      <c r="I553" t="s">
        <v>26</v>
      </c>
      <c r="J553" t="s">
        <v>111</v>
      </c>
      <c r="K553" t="s">
        <v>101</v>
      </c>
      <c r="L553">
        <v>2</v>
      </c>
      <c r="M553">
        <v>125000</v>
      </c>
      <c r="N553">
        <v>2</v>
      </c>
      <c r="O553">
        <v>245000</v>
      </c>
      <c r="P553">
        <v>38123</v>
      </c>
      <c r="Q553" t="s">
        <v>74</v>
      </c>
      <c r="R553" t="s">
        <v>30</v>
      </c>
      <c r="S553" t="s">
        <v>31</v>
      </c>
      <c r="T553" t="s">
        <v>32</v>
      </c>
    </row>
    <row r="554" spans="1:20" x14ac:dyDescent="0.25">
      <c r="A554" t="s">
        <v>20</v>
      </c>
      <c r="B554" t="s">
        <v>1204</v>
      </c>
      <c r="C554" s="1">
        <v>46182</v>
      </c>
      <c r="D554" t="s">
        <v>1205</v>
      </c>
      <c r="E554" t="s">
        <v>94</v>
      </c>
      <c r="F554" t="s">
        <v>24</v>
      </c>
      <c r="G554">
        <v>41</v>
      </c>
      <c r="H554" t="s">
        <v>85</v>
      </c>
      <c r="I554" t="s">
        <v>26</v>
      </c>
      <c r="J554" t="s">
        <v>104</v>
      </c>
      <c r="K554" t="s">
        <v>58</v>
      </c>
      <c r="L554">
        <v>1</v>
      </c>
      <c r="M554">
        <v>169000</v>
      </c>
      <c r="N554">
        <v>7</v>
      </c>
      <c r="O554">
        <v>157170</v>
      </c>
      <c r="P554">
        <v>24515.62</v>
      </c>
      <c r="Q554" t="s">
        <v>59</v>
      </c>
      <c r="R554" t="s">
        <v>38</v>
      </c>
      <c r="S554" t="s">
        <v>39</v>
      </c>
      <c r="T554" t="s">
        <v>40</v>
      </c>
    </row>
    <row r="555" spans="1:20" x14ac:dyDescent="0.25">
      <c r="A555" t="s">
        <v>20</v>
      </c>
      <c r="B555" t="s">
        <v>1206</v>
      </c>
      <c r="C555" s="1">
        <v>45735</v>
      </c>
      <c r="D555" t="s">
        <v>1207</v>
      </c>
      <c r="E555" t="s">
        <v>23</v>
      </c>
      <c r="F555" t="s">
        <v>24</v>
      </c>
      <c r="G555">
        <v>42</v>
      </c>
      <c r="H555" t="s">
        <v>51</v>
      </c>
      <c r="I555" t="s">
        <v>26</v>
      </c>
      <c r="J555" t="s">
        <v>64</v>
      </c>
      <c r="K555" t="s">
        <v>28</v>
      </c>
      <c r="L555">
        <v>1</v>
      </c>
      <c r="M555">
        <v>124000</v>
      </c>
      <c r="N555">
        <v>5</v>
      </c>
      <c r="O555">
        <v>117800</v>
      </c>
      <c r="P555">
        <v>17601.2</v>
      </c>
      <c r="Q555" t="s">
        <v>74</v>
      </c>
      <c r="R555" t="s">
        <v>96</v>
      </c>
      <c r="S555" t="s">
        <v>69</v>
      </c>
      <c r="T555" t="s">
        <v>32</v>
      </c>
    </row>
    <row r="556" spans="1:20" x14ac:dyDescent="0.25">
      <c r="A556" t="s">
        <v>20</v>
      </c>
      <c r="B556" t="s">
        <v>1208</v>
      </c>
      <c r="C556" s="1">
        <v>45995</v>
      </c>
      <c r="D556" t="s">
        <v>1209</v>
      </c>
      <c r="E556" t="s">
        <v>72</v>
      </c>
      <c r="F556" t="s">
        <v>24</v>
      </c>
      <c r="G556">
        <v>36</v>
      </c>
      <c r="H556" t="s">
        <v>56</v>
      </c>
      <c r="I556" t="s">
        <v>26</v>
      </c>
      <c r="J556" t="s">
        <v>27</v>
      </c>
      <c r="K556" t="s">
        <v>68</v>
      </c>
      <c r="L556">
        <v>1</v>
      </c>
      <c r="M556">
        <v>94000</v>
      </c>
      <c r="N556">
        <v>3</v>
      </c>
      <c r="O556">
        <v>91180</v>
      </c>
      <c r="P556">
        <v>15641.83</v>
      </c>
      <c r="Q556" t="s">
        <v>37</v>
      </c>
      <c r="R556" t="s">
        <v>60</v>
      </c>
      <c r="S556" t="s">
        <v>69</v>
      </c>
      <c r="T556" t="s">
        <v>40</v>
      </c>
    </row>
    <row r="557" spans="1:20" x14ac:dyDescent="0.25">
      <c r="A557" t="s">
        <v>20</v>
      </c>
      <c r="B557" t="s">
        <v>1210</v>
      </c>
      <c r="C557" s="1">
        <v>45670</v>
      </c>
      <c r="D557" t="s">
        <v>1211</v>
      </c>
      <c r="E557" t="s">
        <v>129</v>
      </c>
      <c r="F557" t="s">
        <v>24</v>
      </c>
      <c r="G557">
        <v>50</v>
      </c>
      <c r="H557" t="s">
        <v>56</v>
      </c>
      <c r="I557" t="s">
        <v>26</v>
      </c>
      <c r="J557" t="s">
        <v>104</v>
      </c>
      <c r="K557" t="s">
        <v>68</v>
      </c>
      <c r="L557">
        <v>1</v>
      </c>
      <c r="M557">
        <v>170000</v>
      </c>
      <c r="N557">
        <v>5</v>
      </c>
      <c r="O557">
        <v>161500</v>
      </c>
      <c r="P557">
        <v>12134.03</v>
      </c>
      <c r="Q557" t="s">
        <v>52</v>
      </c>
      <c r="R557" t="s">
        <v>96</v>
      </c>
      <c r="S557" t="s">
        <v>47</v>
      </c>
      <c r="T557" t="s">
        <v>32</v>
      </c>
    </row>
    <row r="558" spans="1:20" x14ac:dyDescent="0.25">
      <c r="A558" t="s">
        <v>20</v>
      </c>
      <c r="B558" t="s">
        <v>1212</v>
      </c>
      <c r="C558" s="1">
        <v>45978</v>
      </c>
      <c r="D558" t="s">
        <v>1213</v>
      </c>
      <c r="E558" t="s">
        <v>374</v>
      </c>
      <c r="F558" t="s">
        <v>24</v>
      </c>
      <c r="G558">
        <v>32</v>
      </c>
      <c r="H558" t="s">
        <v>85</v>
      </c>
      <c r="I558" t="s">
        <v>26</v>
      </c>
      <c r="J558" t="s">
        <v>36</v>
      </c>
      <c r="K558" t="s">
        <v>68</v>
      </c>
      <c r="L558">
        <v>1</v>
      </c>
      <c r="M558">
        <v>115000</v>
      </c>
      <c r="N558">
        <v>3</v>
      </c>
      <c r="O558">
        <v>111550</v>
      </c>
      <c r="P558">
        <v>10921.57</v>
      </c>
      <c r="Q558" t="s">
        <v>46</v>
      </c>
      <c r="R558" t="s">
        <v>38</v>
      </c>
      <c r="S558" t="s">
        <v>87</v>
      </c>
      <c r="T558" t="s">
        <v>32</v>
      </c>
    </row>
    <row r="559" spans="1:20" x14ac:dyDescent="0.25">
      <c r="A559" t="s">
        <v>20</v>
      </c>
      <c r="B559" t="s">
        <v>1214</v>
      </c>
      <c r="C559" s="1">
        <v>45667</v>
      </c>
      <c r="D559" t="s">
        <v>1215</v>
      </c>
      <c r="E559" t="s">
        <v>43</v>
      </c>
      <c r="F559" t="s">
        <v>24</v>
      </c>
      <c r="G559">
        <v>51</v>
      </c>
      <c r="H559" t="s">
        <v>73</v>
      </c>
      <c r="I559" t="s">
        <v>26</v>
      </c>
      <c r="J559" t="s">
        <v>64</v>
      </c>
      <c r="K559" t="s">
        <v>68</v>
      </c>
      <c r="L559">
        <v>1</v>
      </c>
      <c r="M559">
        <v>124000</v>
      </c>
      <c r="N559">
        <v>3</v>
      </c>
      <c r="O559">
        <v>120280</v>
      </c>
      <c r="P559">
        <v>9522.89</v>
      </c>
      <c r="Q559" t="s">
        <v>59</v>
      </c>
      <c r="R559" t="s">
        <v>38</v>
      </c>
      <c r="S559" t="s">
        <v>61</v>
      </c>
      <c r="T559" t="s">
        <v>40</v>
      </c>
    </row>
    <row r="560" spans="1:20" x14ac:dyDescent="0.25">
      <c r="A560" t="s">
        <v>20</v>
      </c>
      <c r="B560" t="s">
        <v>1216</v>
      </c>
      <c r="C560" s="1">
        <v>45800</v>
      </c>
      <c r="D560" t="s">
        <v>1217</v>
      </c>
      <c r="E560" t="s">
        <v>43</v>
      </c>
      <c r="F560" t="s">
        <v>24</v>
      </c>
      <c r="G560">
        <v>29</v>
      </c>
      <c r="H560" t="s">
        <v>51</v>
      </c>
      <c r="I560" t="s">
        <v>26</v>
      </c>
      <c r="J560" t="s">
        <v>36</v>
      </c>
      <c r="K560" t="s">
        <v>58</v>
      </c>
      <c r="L560">
        <v>1</v>
      </c>
      <c r="M560">
        <v>113000</v>
      </c>
      <c r="N560">
        <v>7</v>
      </c>
      <c r="O560">
        <v>105090</v>
      </c>
      <c r="P560">
        <v>6300.55</v>
      </c>
      <c r="Q560" t="s">
        <v>52</v>
      </c>
      <c r="R560" t="s">
        <v>38</v>
      </c>
      <c r="S560" t="s">
        <v>69</v>
      </c>
      <c r="T560" t="s">
        <v>40</v>
      </c>
    </row>
    <row r="561" spans="1:20" x14ac:dyDescent="0.25">
      <c r="A561" t="s">
        <v>20</v>
      </c>
      <c r="B561" t="s">
        <v>1218</v>
      </c>
      <c r="C561" s="1">
        <v>45969</v>
      </c>
      <c r="D561" t="s">
        <v>1219</v>
      </c>
      <c r="E561" t="s">
        <v>129</v>
      </c>
      <c r="F561" t="s">
        <v>55</v>
      </c>
      <c r="G561">
        <v>0</v>
      </c>
      <c r="H561" t="s">
        <v>85</v>
      </c>
      <c r="I561" t="s">
        <v>26</v>
      </c>
      <c r="J561" t="s">
        <v>121</v>
      </c>
      <c r="K561" t="s">
        <v>68</v>
      </c>
      <c r="L561">
        <v>1</v>
      </c>
      <c r="M561">
        <v>126000</v>
      </c>
      <c r="N561">
        <v>5</v>
      </c>
      <c r="O561">
        <v>119700</v>
      </c>
      <c r="P561">
        <v>11758.27</v>
      </c>
      <c r="Q561" t="s">
        <v>105</v>
      </c>
      <c r="R561" t="s">
        <v>38</v>
      </c>
      <c r="S561" t="s">
        <v>69</v>
      </c>
      <c r="T561" t="s">
        <v>32</v>
      </c>
    </row>
    <row r="562" spans="1:20" x14ac:dyDescent="0.25">
      <c r="A562" t="s">
        <v>20</v>
      </c>
      <c r="B562" t="s">
        <v>1220</v>
      </c>
      <c r="C562" s="1">
        <v>45956</v>
      </c>
      <c r="D562" t="s">
        <v>1221</v>
      </c>
      <c r="E562" t="s">
        <v>23</v>
      </c>
      <c r="F562" t="s">
        <v>24</v>
      </c>
      <c r="G562">
        <v>53</v>
      </c>
      <c r="H562" t="s">
        <v>108</v>
      </c>
      <c r="I562" t="s">
        <v>26</v>
      </c>
      <c r="J562" t="s">
        <v>111</v>
      </c>
      <c r="K562" t="s">
        <v>28</v>
      </c>
      <c r="L562">
        <v>2</v>
      </c>
      <c r="M562">
        <v>125000</v>
      </c>
      <c r="N562">
        <v>3</v>
      </c>
      <c r="O562">
        <v>242500</v>
      </c>
      <c r="P562">
        <v>41323.230000000003</v>
      </c>
      <c r="Q562" t="s">
        <v>86</v>
      </c>
      <c r="R562" t="s">
        <v>30</v>
      </c>
      <c r="S562" t="s">
        <v>31</v>
      </c>
      <c r="T562" t="s">
        <v>40</v>
      </c>
    </row>
    <row r="563" spans="1:20" x14ac:dyDescent="0.25">
      <c r="A563" t="s">
        <v>20</v>
      </c>
      <c r="B563" t="s">
        <v>1222</v>
      </c>
      <c r="C563" s="1">
        <v>46147</v>
      </c>
      <c r="D563" t="s">
        <v>1223</v>
      </c>
      <c r="E563" t="s">
        <v>94</v>
      </c>
      <c r="F563" t="s">
        <v>55</v>
      </c>
      <c r="G563">
        <v>24</v>
      </c>
      <c r="H563" t="s">
        <v>95</v>
      </c>
      <c r="I563" t="s">
        <v>26</v>
      </c>
      <c r="J563" t="s">
        <v>77</v>
      </c>
      <c r="K563" t="s">
        <v>68</v>
      </c>
      <c r="L563">
        <v>1</v>
      </c>
      <c r="M563">
        <v>193000</v>
      </c>
      <c r="N563">
        <v>2</v>
      </c>
      <c r="O563">
        <v>189140</v>
      </c>
      <c r="P563">
        <v>26175.75</v>
      </c>
      <c r="Q563" t="s">
        <v>52</v>
      </c>
      <c r="R563" t="s">
        <v>60</v>
      </c>
      <c r="S563" t="s">
        <v>47</v>
      </c>
      <c r="T563" t="s">
        <v>40</v>
      </c>
    </row>
    <row r="564" spans="1:20" x14ac:dyDescent="0.25">
      <c r="A564" t="s">
        <v>20</v>
      </c>
      <c r="B564" t="s">
        <v>1224</v>
      </c>
      <c r="C564" s="1">
        <v>45940</v>
      </c>
      <c r="D564" t="s">
        <v>1225</v>
      </c>
      <c r="E564" t="s">
        <v>80</v>
      </c>
      <c r="F564" t="s">
        <v>55</v>
      </c>
      <c r="G564">
        <v>32</v>
      </c>
      <c r="H564" t="s">
        <v>51</v>
      </c>
      <c r="I564" t="s">
        <v>26</v>
      </c>
      <c r="J564" t="s">
        <v>45</v>
      </c>
      <c r="K564" t="s">
        <v>58</v>
      </c>
      <c r="L564">
        <v>1</v>
      </c>
      <c r="M564">
        <v>99000</v>
      </c>
      <c r="N564">
        <v>10</v>
      </c>
      <c r="O564">
        <v>89100</v>
      </c>
      <c r="P564">
        <v>3744.15</v>
      </c>
      <c r="Q564" t="s">
        <v>82</v>
      </c>
      <c r="R564" t="s">
        <v>38</v>
      </c>
      <c r="S564" t="s">
        <v>87</v>
      </c>
      <c r="T564" t="s">
        <v>32</v>
      </c>
    </row>
    <row r="565" spans="1:20" x14ac:dyDescent="0.25">
      <c r="A565" t="s">
        <v>20</v>
      </c>
      <c r="B565" t="s">
        <v>1226</v>
      </c>
      <c r="C565" s="1">
        <v>45698</v>
      </c>
      <c r="D565" t="s">
        <v>1227</v>
      </c>
      <c r="E565" t="s">
        <v>72</v>
      </c>
      <c r="F565" t="s">
        <v>24</v>
      </c>
      <c r="G565">
        <v>25</v>
      </c>
      <c r="H565" t="s">
        <v>56</v>
      </c>
      <c r="I565" t="s">
        <v>26</v>
      </c>
      <c r="J565" t="s">
        <v>36</v>
      </c>
      <c r="K565" t="s">
        <v>101</v>
      </c>
      <c r="L565">
        <v>2</v>
      </c>
      <c r="M565">
        <v>115000</v>
      </c>
      <c r="N565">
        <v>5</v>
      </c>
      <c r="O565">
        <v>218500</v>
      </c>
      <c r="P565">
        <v>26329.61</v>
      </c>
      <c r="Q565" t="s">
        <v>74</v>
      </c>
      <c r="R565" t="s">
        <v>38</v>
      </c>
      <c r="S565" t="s">
        <v>87</v>
      </c>
      <c r="T565" t="s">
        <v>32</v>
      </c>
    </row>
    <row r="566" spans="1:20" x14ac:dyDescent="0.25">
      <c r="A566" t="s">
        <v>20</v>
      </c>
      <c r="B566" t="s">
        <v>1228</v>
      </c>
      <c r="C566" s="1">
        <v>46051</v>
      </c>
      <c r="D566" t="s">
        <v>1229</v>
      </c>
      <c r="E566" t="s">
        <v>23</v>
      </c>
      <c r="F566" t="s">
        <v>24</v>
      </c>
      <c r="G566">
        <v>31</v>
      </c>
      <c r="H566" t="s">
        <v>44</v>
      </c>
      <c r="I566" t="s">
        <v>26</v>
      </c>
      <c r="J566" t="s">
        <v>77</v>
      </c>
      <c r="K566" t="s">
        <v>28</v>
      </c>
      <c r="L566">
        <v>1</v>
      </c>
      <c r="M566">
        <v>196000</v>
      </c>
      <c r="N566">
        <v>10</v>
      </c>
      <c r="O566">
        <v>176400</v>
      </c>
      <c r="P566">
        <v>13357.56</v>
      </c>
      <c r="Q566" t="s">
        <v>52</v>
      </c>
      <c r="R566" t="s">
        <v>96</v>
      </c>
      <c r="S566" t="s">
        <v>39</v>
      </c>
      <c r="T566" t="s">
        <v>40</v>
      </c>
    </row>
    <row r="567" spans="1:20" x14ac:dyDescent="0.25">
      <c r="A567" t="s">
        <v>20</v>
      </c>
      <c r="B567" t="s">
        <v>1230</v>
      </c>
      <c r="C567" s="1">
        <v>46035</v>
      </c>
      <c r="D567" t="s">
        <v>1231</v>
      </c>
      <c r="E567" t="s">
        <v>23</v>
      </c>
      <c r="F567" t="s">
        <v>24</v>
      </c>
      <c r="G567">
        <v>24</v>
      </c>
      <c r="H567" t="s">
        <v>44</v>
      </c>
      <c r="I567" t="s">
        <v>26</v>
      </c>
      <c r="J567" t="s">
        <v>27</v>
      </c>
      <c r="K567" t="s">
        <v>58</v>
      </c>
      <c r="L567">
        <v>2</v>
      </c>
      <c r="M567">
        <v>95000</v>
      </c>
      <c r="N567">
        <v>7</v>
      </c>
      <c r="O567">
        <v>176700</v>
      </c>
      <c r="P567">
        <v>25735.94</v>
      </c>
      <c r="Q567" t="s">
        <v>46</v>
      </c>
      <c r="R567" t="s">
        <v>96</v>
      </c>
      <c r="S567" t="s">
        <v>39</v>
      </c>
      <c r="T567" t="s">
        <v>32</v>
      </c>
    </row>
    <row r="568" spans="1:20" x14ac:dyDescent="0.25">
      <c r="A568" t="s">
        <v>20</v>
      </c>
      <c r="B568" t="s">
        <v>1232</v>
      </c>
      <c r="C568" s="1">
        <v>46130</v>
      </c>
      <c r="D568" t="s">
        <v>1233</v>
      </c>
      <c r="E568" t="s">
        <v>43</v>
      </c>
      <c r="F568" t="s">
        <v>24</v>
      </c>
      <c r="G568">
        <v>44</v>
      </c>
      <c r="H568" t="s">
        <v>25</v>
      </c>
      <c r="I568" t="s">
        <v>26</v>
      </c>
      <c r="J568" t="s">
        <v>36</v>
      </c>
      <c r="K568" t="s">
        <v>68</v>
      </c>
      <c r="L568">
        <v>1</v>
      </c>
      <c r="M568">
        <v>113000</v>
      </c>
      <c r="N568">
        <v>10</v>
      </c>
      <c r="O568">
        <v>101700</v>
      </c>
      <c r="P568">
        <v>4142.7700000000004</v>
      </c>
      <c r="Q568" t="s">
        <v>59</v>
      </c>
      <c r="R568" t="s">
        <v>30</v>
      </c>
      <c r="S568" t="s">
        <v>69</v>
      </c>
      <c r="T568" t="s">
        <v>40</v>
      </c>
    </row>
    <row r="569" spans="1:20" x14ac:dyDescent="0.25">
      <c r="A569" t="s">
        <v>20</v>
      </c>
      <c r="B569" t="s">
        <v>1234</v>
      </c>
      <c r="C569" s="1">
        <v>45727</v>
      </c>
      <c r="D569" t="s">
        <v>1235</v>
      </c>
      <c r="E569" t="s">
        <v>50</v>
      </c>
      <c r="F569" t="s">
        <v>24</v>
      </c>
      <c r="G569">
        <v>25</v>
      </c>
      <c r="H569" t="s">
        <v>73</v>
      </c>
      <c r="I569" t="s">
        <v>26</v>
      </c>
      <c r="J569" t="s">
        <v>27</v>
      </c>
      <c r="K569" t="s">
        <v>68</v>
      </c>
      <c r="L569">
        <v>1</v>
      </c>
      <c r="M569">
        <v>97000</v>
      </c>
      <c r="N569">
        <v>5</v>
      </c>
      <c r="O569">
        <v>92150</v>
      </c>
      <c r="P569">
        <v>10847.4</v>
      </c>
      <c r="Q569" t="s">
        <v>46</v>
      </c>
      <c r="R569" t="s">
        <v>60</v>
      </c>
      <c r="S569" t="s">
        <v>31</v>
      </c>
      <c r="T569" t="s">
        <v>32</v>
      </c>
    </row>
    <row r="570" spans="1:20" x14ac:dyDescent="0.25">
      <c r="A570" t="s">
        <v>20</v>
      </c>
      <c r="B570" t="s">
        <v>1236</v>
      </c>
      <c r="C570" s="1">
        <v>45830</v>
      </c>
      <c r="D570" t="s">
        <v>1237</v>
      </c>
      <c r="E570" t="s">
        <v>80</v>
      </c>
      <c r="F570" t="s">
        <v>24</v>
      </c>
      <c r="G570">
        <v>24</v>
      </c>
      <c r="H570" t="s">
        <v>108</v>
      </c>
      <c r="I570" t="s">
        <v>26</v>
      </c>
      <c r="J570" t="s">
        <v>118</v>
      </c>
      <c r="K570" t="s">
        <v>68</v>
      </c>
      <c r="L570">
        <v>1</v>
      </c>
      <c r="M570">
        <v>83000</v>
      </c>
      <c r="N570">
        <v>7</v>
      </c>
      <c r="O570">
        <v>77190</v>
      </c>
      <c r="P570">
        <v>5065.1899999999996</v>
      </c>
      <c r="Q570" t="s">
        <v>46</v>
      </c>
      <c r="R570" t="s">
        <v>60</v>
      </c>
      <c r="S570" t="s">
        <v>31</v>
      </c>
      <c r="T570" t="s">
        <v>32</v>
      </c>
    </row>
    <row r="571" spans="1:20" x14ac:dyDescent="0.25">
      <c r="A571" t="s">
        <v>20</v>
      </c>
      <c r="B571" t="s">
        <v>1238</v>
      </c>
      <c r="C571" s="1">
        <v>45763</v>
      </c>
      <c r="D571" t="s">
        <v>1239</v>
      </c>
      <c r="E571" t="s">
        <v>72</v>
      </c>
      <c r="F571" t="s">
        <v>24</v>
      </c>
      <c r="G571">
        <v>44</v>
      </c>
      <c r="H571" t="s">
        <v>44</v>
      </c>
      <c r="I571" t="s">
        <v>26</v>
      </c>
      <c r="J571" t="s">
        <v>118</v>
      </c>
      <c r="K571" t="s">
        <v>28</v>
      </c>
      <c r="L571">
        <v>1</v>
      </c>
      <c r="M571">
        <v>83000</v>
      </c>
      <c r="N571">
        <v>10</v>
      </c>
      <c r="O571">
        <v>74700</v>
      </c>
      <c r="P571">
        <v>1877.34</v>
      </c>
      <c r="Q571" t="s">
        <v>105</v>
      </c>
      <c r="R571" t="s">
        <v>30</v>
      </c>
      <c r="S571" t="s">
        <v>47</v>
      </c>
      <c r="T571" t="s">
        <v>32</v>
      </c>
    </row>
    <row r="572" spans="1:20" x14ac:dyDescent="0.25">
      <c r="A572" t="s">
        <v>20</v>
      </c>
      <c r="B572" t="s">
        <v>1240</v>
      </c>
      <c r="C572" s="1">
        <v>45686</v>
      </c>
      <c r="D572" t="s">
        <v>1241</v>
      </c>
      <c r="E572" t="s">
        <v>43</v>
      </c>
      <c r="F572" t="s">
        <v>55</v>
      </c>
      <c r="G572">
        <v>20</v>
      </c>
      <c r="H572" t="s">
        <v>56</v>
      </c>
      <c r="I572" t="s">
        <v>26</v>
      </c>
      <c r="J572" t="s">
        <v>111</v>
      </c>
      <c r="K572" t="s">
        <v>28</v>
      </c>
      <c r="L572">
        <v>2</v>
      </c>
      <c r="M572">
        <v>124000</v>
      </c>
      <c r="N572">
        <v>0</v>
      </c>
      <c r="O572">
        <v>248000</v>
      </c>
      <c r="P572">
        <v>54082.7</v>
      </c>
      <c r="Q572" t="s">
        <v>52</v>
      </c>
      <c r="R572" t="s">
        <v>30</v>
      </c>
      <c r="S572" t="s">
        <v>61</v>
      </c>
      <c r="T572" t="s">
        <v>32</v>
      </c>
    </row>
    <row r="573" spans="1:20" x14ac:dyDescent="0.25">
      <c r="A573" t="s">
        <v>20</v>
      </c>
      <c r="B573" t="s">
        <v>1242</v>
      </c>
      <c r="C573" s="1">
        <v>45852</v>
      </c>
      <c r="D573" t="s">
        <v>1243</v>
      </c>
      <c r="E573" t="s">
        <v>94</v>
      </c>
      <c r="F573" t="s">
        <v>24</v>
      </c>
      <c r="G573">
        <v>33</v>
      </c>
      <c r="H573" t="s">
        <v>25</v>
      </c>
      <c r="I573" t="s">
        <v>26</v>
      </c>
      <c r="J573" t="s">
        <v>45</v>
      </c>
      <c r="K573" t="s">
        <v>28</v>
      </c>
      <c r="L573">
        <v>1</v>
      </c>
      <c r="M573">
        <v>96000</v>
      </c>
      <c r="N573">
        <v>3</v>
      </c>
      <c r="O573">
        <v>93120</v>
      </c>
      <c r="P573">
        <v>14522.73</v>
      </c>
      <c r="Q573" t="s">
        <v>52</v>
      </c>
      <c r="R573" t="s">
        <v>96</v>
      </c>
      <c r="S573" t="s">
        <v>69</v>
      </c>
      <c r="T573" t="s">
        <v>40</v>
      </c>
    </row>
    <row r="574" spans="1:20" x14ac:dyDescent="0.25">
      <c r="A574" t="s">
        <v>20</v>
      </c>
      <c r="B574" t="s">
        <v>1244</v>
      </c>
      <c r="C574" s="1">
        <v>45875</v>
      </c>
      <c r="D574" t="s">
        <v>1245</v>
      </c>
      <c r="E574" t="s">
        <v>592</v>
      </c>
      <c r="F574" t="s">
        <v>55</v>
      </c>
      <c r="G574">
        <v>49</v>
      </c>
      <c r="H574" t="s">
        <v>73</v>
      </c>
      <c r="I574" t="s">
        <v>26</v>
      </c>
      <c r="J574" t="s">
        <v>64</v>
      </c>
      <c r="K574" t="s">
        <v>101</v>
      </c>
      <c r="L574">
        <v>1</v>
      </c>
      <c r="M574">
        <v>127000</v>
      </c>
      <c r="N574">
        <v>3</v>
      </c>
      <c r="O574">
        <v>123190</v>
      </c>
      <c r="P574">
        <v>23947.4</v>
      </c>
      <c r="Q574" t="s">
        <v>86</v>
      </c>
      <c r="R574" t="s">
        <v>30</v>
      </c>
      <c r="S574" t="s">
        <v>69</v>
      </c>
      <c r="T574" t="s">
        <v>32</v>
      </c>
    </row>
    <row r="575" spans="1:20" x14ac:dyDescent="0.25">
      <c r="A575" t="s">
        <v>20</v>
      </c>
      <c r="B575" t="s">
        <v>1246</v>
      </c>
      <c r="C575" s="1">
        <v>46240</v>
      </c>
      <c r="D575" t="s">
        <v>1247</v>
      </c>
      <c r="E575" t="s">
        <v>72</v>
      </c>
      <c r="F575" t="s">
        <v>55</v>
      </c>
      <c r="G575">
        <v>30</v>
      </c>
      <c r="H575" t="s">
        <v>51</v>
      </c>
      <c r="I575" t="s">
        <v>26</v>
      </c>
      <c r="J575" t="s">
        <v>77</v>
      </c>
      <c r="K575" t="s">
        <v>101</v>
      </c>
      <c r="L575">
        <v>1</v>
      </c>
      <c r="M575">
        <v>195000</v>
      </c>
      <c r="N575">
        <v>0</v>
      </c>
      <c r="O575">
        <v>195000</v>
      </c>
      <c r="P575">
        <v>26226.77</v>
      </c>
      <c r="Q575" t="s">
        <v>59</v>
      </c>
      <c r="R575" t="s">
        <v>96</v>
      </c>
      <c r="S575" t="s">
        <v>39</v>
      </c>
      <c r="T575" t="s">
        <v>32</v>
      </c>
    </row>
    <row r="576" spans="1:20" x14ac:dyDescent="0.25">
      <c r="A576" t="s">
        <v>20</v>
      </c>
      <c r="B576" t="s">
        <v>1248</v>
      </c>
      <c r="C576" s="1">
        <v>46117</v>
      </c>
      <c r="D576" t="s">
        <v>1249</v>
      </c>
      <c r="E576" t="s">
        <v>50</v>
      </c>
      <c r="F576" t="s">
        <v>55</v>
      </c>
      <c r="G576">
        <v>44</v>
      </c>
      <c r="H576" t="s">
        <v>85</v>
      </c>
      <c r="I576" t="s">
        <v>26</v>
      </c>
      <c r="J576" t="s">
        <v>64</v>
      </c>
      <c r="K576" t="s">
        <v>68</v>
      </c>
      <c r="L576">
        <v>1</v>
      </c>
      <c r="M576">
        <v>123000</v>
      </c>
      <c r="N576">
        <v>7</v>
      </c>
      <c r="O576">
        <v>114390</v>
      </c>
      <c r="P576">
        <v>4987.3599999999997</v>
      </c>
      <c r="Q576" t="s">
        <v>105</v>
      </c>
      <c r="R576" t="s">
        <v>30</v>
      </c>
      <c r="S576" t="s">
        <v>39</v>
      </c>
      <c r="T576" t="s">
        <v>32</v>
      </c>
    </row>
    <row r="577" spans="1:20" x14ac:dyDescent="0.25">
      <c r="A577" t="s">
        <v>20</v>
      </c>
      <c r="B577" t="s">
        <v>1250</v>
      </c>
      <c r="C577" s="1">
        <v>45961</v>
      </c>
      <c r="D577" t="s">
        <v>1251</v>
      </c>
      <c r="E577" t="s">
        <v>129</v>
      </c>
      <c r="F577" t="s">
        <v>24</v>
      </c>
      <c r="G577">
        <v>32</v>
      </c>
      <c r="H577" t="s">
        <v>44</v>
      </c>
      <c r="I577" t="s">
        <v>26</v>
      </c>
      <c r="J577" t="s">
        <v>77</v>
      </c>
      <c r="K577" t="s">
        <v>68</v>
      </c>
      <c r="L577">
        <v>1</v>
      </c>
      <c r="M577">
        <v>193000</v>
      </c>
      <c r="N577">
        <v>2</v>
      </c>
      <c r="O577">
        <v>189140</v>
      </c>
      <c r="P577">
        <v>29926.03</v>
      </c>
      <c r="Q577" t="s">
        <v>105</v>
      </c>
      <c r="R577" t="s">
        <v>96</v>
      </c>
      <c r="S577" t="s">
        <v>61</v>
      </c>
      <c r="T577" t="s">
        <v>40</v>
      </c>
    </row>
    <row r="578" spans="1:20" x14ac:dyDescent="0.25">
      <c r="A578" t="s">
        <v>20</v>
      </c>
      <c r="B578" t="s">
        <v>1252</v>
      </c>
      <c r="C578" s="1">
        <v>46082</v>
      </c>
      <c r="D578" t="s">
        <v>1253</v>
      </c>
      <c r="E578" t="s">
        <v>80</v>
      </c>
      <c r="F578" t="s">
        <v>55</v>
      </c>
      <c r="G578">
        <v>38</v>
      </c>
      <c r="H578" t="s">
        <v>73</v>
      </c>
      <c r="I578" t="s">
        <v>26</v>
      </c>
      <c r="J578" t="s">
        <v>64</v>
      </c>
      <c r="K578" t="s">
        <v>101</v>
      </c>
      <c r="L578">
        <v>1</v>
      </c>
      <c r="M578">
        <v>127000</v>
      </c>
      <c r="N578">
        <v>0</v>
      </c>
      <c r="O578">
        <v>127000</v>
      </c>
      <c r="P578">
        <v>20001.900000000001</v>
      </c>
      <c r="Q578" t="s">
        <v>86</v>
      </c>
      <c r="R578" t="s">
        <v>96</v>
      </c>
      <c r="S578" t="s">
        <v>31</v>
      </c>
      <c r="T578" t="s">
        <v>32</v>
      </c>
    </row>
    <row r="579" spans="1:20" x14ac:dyDescent="0.25">
      <c r="A579" t="s">
        <v>20</v>
      </c>
      <c r="B579" t="s">
        <v>1254</v>
      </c>
      <c r="C579" s="1">
        <v>46110</v>
      </c>
      <c r="D579" t="s">
        <v>1255</v>
      </c>
      <c r="E579" t="s">
        <v>23</v>
      </c>
      <c r="F579" t="s">
        <v>24</v>
      </c>
      <c r="G579">
        <v>20</v>
      </c>
      <c r="H579" t="s">
        <v>44</v>
      </c>
      <c r="I579" t="s">
        <v>26</v>
      </c>
      <c r="J579" t="s">
        <v>111</v>
      </c>
      <c r="K579" t="s">
        <v>28</v>
      </c>
      <c r="L579">
        <v>1</v>
      </c>
      <c r="M579">
        <v>125000</v>
      </c>
      <c r="N579">
        <v>0</v>
      </c>
      <c r="O579">
        <v>116250</v>
      </c>
      <c r="P579">
        <v>13925.45</v>
      </c>
      <c r="Q579" t="s">
        <v>52</v>
      </c>
      <c r="R579" t="s">
        <v>30</v>
      </c>
      <c r="S579" t="s">
        <v>61</v>
      </c>
      <c r="T579" t="s">
        <v>32</v>
      </c>
    </row>
    <row r="580" spans="1:20" x14ac:dyDescent="0.25">
      <c r="A580" t="s">
        <v>20</v>
      </c>
      <c r="B580" t="s">
        <v>1256</v>
      </c>
      <c r="C580" s="1">
        <v>45867</v>
      </c>
      <c r="D580" t="s">
        <v>1257</v>
      </c>
      <c r="E580" t="s">
        <v>23</v>
      </c>
      <c r="F580" t="s">
        <v>24</v>
      </c>
      <c r="G580">
        <v>35</v>
      </c>
      <c r="H580" t="s">
        <v>73</v>
      </c>
      <c r="I580" t="s">
        <v>26</v>
      </c>
      <c r="J580" t="s">
        <v>111</v>
      </c>
      <c r="K580" t="s">
        <v>58</v>
      </c>
      <c r="L580">
        <v>1</v>
      </c>
      <c r="M580">
        <v>126000</v>
      </c>
      <c r="N580">
        <v>7</v>
      </c>
      <c r="O580">
        <v>117180</v>
      </c>
      <c r="P580">
        <v>6331.94</v>
      </c>
      <c r="Q580" t="s">
        <v>74</v>
      </c>
      <c r="R580" t="s">
        <v>96</v>
      </c>
      <c r="S580" t="s">
        <v>61</v>
      </c>
      <c r="T580" t="s">
        <v>32</v>
      </c>
    </row>
    <row r="581" spans="1:20" x14ac:dyDescent="0.25">
      <c r="A581" t="s">
        <v>20</v>
      </c>
      <c r="B581" t="s">
        <v>1258</v>
      </c>
      <c r="C581" s="1">
        <v>46117</v>
      </c>
      <c r="D581" t="s">
        <v>1259</v>
      </c>
      <c r="E581" t="s">
        <v>738</v>
      </c>
      <c r="F581" t="s">
        <v>24</v>
      </c>
      <c r="G581">
        <v>32</v>
      </c>
      <c r="H581" t="s">
        <v>191</v>
      </c>
      <c r="I581" t="s">
        <v>26</v>
      </c>
      <c r="J581" t="s">
        <v>111</v>
      </c>
      <c r="K581" t="s">
        <v>28</v>
      </c>
      <c r="L581">
        <v>1</v>
      </c>
      <c r="M581">
        <v>124000</v>
      </c>
      <c r="N581">
        <v>3</v>
      </c>
      <c r="O581">
        <v>120280</v>
      </c>
      <c r="P581">
        <v>19313.95</v>
      </c>
      <c r="Q581" t="s">
        <v>86</v>
      </c>
      <c r="R581" t="s">
        <v>38</v>
      </c>
      <c r="S581" t="s">
        <v>47</v>
      </c>
      <c r="T581" t="s">
        <v>32</v>
      </c>
    </row>
    <row r="582" spans="1:20" x14ac:dyDescent="0.25">
      <c r="A582" t="s">
        <v>20</v>
      </c>
      <c r="B582" t="s">
        <v>1260</v>
      </c>
      <c r="C582" s="1">
        <v>45817</v>
      </c>
      <c r="D582" t="s">
        <v>1261</v>
      </c>
      <c r="E582" t="s">
        <v>80</v>
      </c>
      <c r="F582" t="s">
        <v>24</v>
      </c>
      <c r="G582">
        <v>50</v>
      </c>
      <c r="H582" t="s">
        <v>85</v>
      </c>
      <c r="I582" t="s">
        <v>26</v>
      </c>
      <c r="J582" t="s">
        <v>57</v>
      </c>
      <c r="K582" t="s">
        <v>58</v>
      </c>
      <c r="L582">
        <v>1</v>
      </c>
      <c r="M582">
        <v>176000</v>
      </c>
      <c r="N582">
        <v>10</v>
      </c>
      <c r="O582">
        <v>158400</v>
      </c>
      <c r="P582">
        <v>11965.95</v>
      </c>
      <c r="Q582" t="s">
        <v>82</v>
      </c>
      <c r="R582" t="s">
        <v>60</v>
      </c>
      <c r="S582" t="s">
        <v>87</v>
      </c>
      <c r="T582" t="s">
        <v>32</v>
      </c>
    </row>
    <row r="583" spans="1:20" x14ac:dyDescent="0.25">
      <c r="A583" t="s">
        <v>20</v>
      </c>
      <c r="B583" t="s">
        <v>1262</v>
      </c>
      <c r="C583" s="1">
        <v>46042</v>
      </c>
      <c r="D583" t="s">
        <v>1263</v>
      </c>
      <c r="E583" t="s">
        <v>35</v>
      </c>
      <c r="F583" t="s">
        <v>55</v>
      </c>
      <c r="G583">
        <v>55</v>
      </c>
      <c r="H583" t="s">
        <v>73</v>
      </c>
      <c r="I583" t="s">
        <v>26</v>
      </c>
      <c r="J583" t="s">
        <v>36</v>
      </c>
      <c r="K583" t="s">
        <v>101</v>
      </c>
      <c r="L583">
        <v>1</v>
      </c>
      <c r="M583">
        <v>115000</v>
      </c>
      <c r="N583">
        <v>3</v>
      </c>
      <c r="O583">
        <v>111550</v>
      </c>
      <c r="P583">
        <v>15590.28</v>
      </c>
      <c r="Q583" t="s">
        <v>37</v>
      </c>
      <c r="R583" t="s">
        <v>38</v>
      </c>
      <c r="S583" t="s">
        <v>31</v>
      </c>
      <c r="T583" t="s">
        <v>32</v>
      </c>
    </row>
    <row r="584" spans="1:20" x14ac:dyDescent="0.25">
      <c r="A584" t="s">
        <v>20</v>
      </c>
      <c r="B584" t="s">
        <v>1264</v>
      </c>
      <c r="C584" s="1">
        <v>46161</v>
      </c>
      <c r="D584" t="s">
        <v>1265</v>
      </c>
      <c r="E584" t="s">
        <v>94</v>
      </c>
      <c r="F584" t="s">
        <v>24</v>
      </c>
      <c r="G584">
        <v>45</v>
      </c>
      <c r="H584" t="s">
        <v>25</v>
      </c>
      <c r="I584" t="s">
        <v>26</v>
      </c>
      <c r="J584" t="s">
        <v>111</v>
      </c>
      <c r="K584" t="s">
        <v>101</v>
      </c>
      <c r="L584">
        <v>1</v>
      </c>
      <c r="M584">
        <v>126000</v>
      </c>
      <c r="N584">
        <v>10</v>
      </c>
      <c r="O584">
        <v>113400</v>
      </c>
      <c r="P584">
        <v>4152.78</v>
      </c>
      <c r="Q584" t="s">
        <v>59</v>
      </c>
      <c r="R584" t="s">
        <v>38</v>
      </c>
      <c r="S584" t="s">
        <v>39</v>
      </c>
      <c r="T584" t="s">
        <v>32</v>
      </c>
    </row>
    <row r="585" spans="1:20" x14ac:dyDescent="0.25">
      <c r="A585" t="s">
        <v>20</v>
      </c>
      <c r="B585" t="s">
        <v>1266</v>
      </c>
      <c r="C585" s="1">
        <v>45824</v>
      </c>
      <c r="D585" t="s">
        <v>1267</v>
      </c>
      <c r="E585" t="s">
        <v>94</v>
      </c>
      <c r="F585" t="s">
        <v>24</v>
      </c>
      <c r="G585">
        <v>32</v>
      </c>
      <c r="H585" t="s">
        <v>25</v>
      </c>
      <c r="I585" t="s">
        <v>26</v>
      </c>
      <c r="J585" t="s">
        <v>77</v>
      </c>
      <c r="K585" t="s">
        <v>101</v>
      </c>
      <c r="L585">
        <v>3</v>
      </c>
      <c r="M585">
        <v>193000</v>
      </c>
      <c r="N585">
        <v>5</v>
      </c>
      <c r="O585">
        <v>550050</v>
      </c>
      <c r="P585">
        <v>33665.64</v>
      </c>
      <c r="Q585" t="s">
        <v>46</v>
      </c>
      <c r="R585" t="s">
        <v>60</v>
      </c>
      <c r="S585" t="s">
        <v>61</v>
      </c>
      <c r="T585" t="s">
        <v>32</v>
      </c>
    </row>
    <row r="586" spans="1:20" x14ac:dyDescent="0.25">
      <c r="A586" t="s">
        <v>20</v>
      </c>
      <c r="B586" t="s">
        <v>1268</v>
      </c>
      <c r="C586" s="1">
        <v>46028</v>
      </c>
      <c r="D586" t="s">
        <v>1269</v>
      </c>
      <c r="E586" t="s">
        <v>129</v>
      </c>
      <c r="F586" t="s">
        <v>24</v>
      </c>
      <c r="G586">
        <v>21</v>
      </c>
      <c r="H586" t="s">
        <v>95</v>
      </c>
      <c r="I586" t="s">
        <v>26</v>
      </c>
      <c r="J586" t="s">
        <v>77</v>
      </c>
      <c r="K586" t="s">
        <v>58</v>
      </c>
      <c r="L586">
        <v>1</v>
      </c>
      <c r="M586">
        <v>194000</v>
      </c>
      <c r="N586">
        <v>5</v>
      </c>
      <c r="O586">
        <v>184300</v>
      </c>
      <c r="P586">
        <v>32176.66</v>
      </c>
      <c r="Q586" t="s">
        <v>37</v>
      </c>
      <c r="R586" t="s">
        <v>60</v>
      </c>
      <c r="S586" t="s">
        <v>31</v>
      </c>
      <c r="T586" t="s">
        <v>32</v>
      </c>
    </row>
    <row r="587" spans="1:20" x14ac:dyDescent="0.25">
      <c r="A587" t="s">
        <v>20</v>
      </c>
      <c r="B587" t="s">
        <v>1270</v>
      </c>
      <c r="C587" s="1">
        <v>46065</v>
      </c>
      <c r="D587" t="s">
        <v>1271</v>
      </c>
      <c r="E587" t="s">
        <v>50</v>
      </c>
      <c r="F587" t="s">
        <v>24</v>
      </c>
      <c r="G587">
        <v>25</v>
      </c>
      <c r="H587" t="s">
        <v>108</v>
      </c>
      <c r="I587" t="s">
        <v>26</v>
      </c>
      <c r="J587" t="s">
        <v>118</v>
      </c>
      <c r="K587" t="s">
        <v>68</v>
      </c>
      <c r="L587">
        <v>1</v>
      </c>
      <c r="M587">
        <v>87000</v>
      </c>
      <c r="N587">
        <v>10</v>
      </c>
      <c r="O587">
        <v>78300</v>
      </c>
      <c r="P587">
        <v>867.74</v>
      </c>
      <c r="Q587" t="s">
        <v>59</v>
      </c>
      <c r="R587" t="s">
        <v>60</v>
      </c>
      <c r="S587" t="s">
        <v>61</v>
      </c>
      <c r="T587" t="s">
        <v>40</v>
      </c>
    </row>
    <row r="588" spans="1:20" x14ac:dyDescent="0.25">
      <c r="A588" t="s">
        <v>20</v>
      </c>
      <c r="B588" t="s">
        <v>1272</v>
      </c>
      <c r="C588" s="1">
        <v>45749</v>
      </c>
      <c r="D588" t="s">
        <v>1273</v>
      </c>
      <c r="E588" t="s">
        <v>43</v>
      </c>
      <c r="F588" t="s">
        <v>55</v>
      </c>
      <c r="G588">
        <v>26</v>
      </c>
      <c r="H588" t="s">
        <v>95</v>
      </c>
      <c r="I588" t="s">
        <v>26</v>
      </c>
      <c r="J588" t="s">
        <v>36</v>
      </c>
      <c r="K588" t="s">
        <v>101</v>
      </c>
      <c r="L588">
        <v>1</v>
      </c>
      <c r="M588">
        <v>117000</v>
      </c>
      <c r="N588">
        <v>5</v>
      </c>
      <c r="O588">
        <v>111150</v>
      </c>
      <c r="P588">
        <v>9325.43</v>
      </c>
      <c r="Q588" t="s">
        <v>52</v>
      </c>
      <c r="R588" t="s">
        <v>38</v>
      </c>
      <c r="S588" t="s">
        <v>61</v>
      </c>
      <c r="T588" t="s">
        <v>40</v>
      </c>
    </row>
    <row r="589" spans="1:20" x14ac:dyDescent="0.25">
      <c r="A589" t="s">
        <v>20</v>
      </c>
      <c r="B589" t="s">
        <v>1274</v>
      </c>
      <c r="C589" s="1">
        <v>46085</v>
      </c>
      <c r="D589" t="s">
        <v>1275</v>
      </c>
      <c r="E589" t="s">
        <v>94</v>
      </c>
      <c r="F589" t="s">
        <v>24</v>
      </c>
      <c r="G589">
        <v>53</v>
      </c>
      <c r="H589" t="s">
        <v>73</v>
      </c>
      <c r="I589" t="s">
        <v>26</v>
      </c>
      <c r="J589" t="s">
        <v>118</v>
      </c>
      <c r="K589" t="s">
        <v>58</v>
      </c>
      <c r="L589">
        <v>1</v>
      </c>
      <c r="M589">
        <v>83000</v>
      </c>
      <c r="N589">
        <v>0</v>
      </c>
      <c r="O589">
        <v>83000</v>
      </c>
      <c r="P589">
        <v>17564.38</v>
      </c>
      <c r="Q589" t="s">
        <v>37</v>
      </c>
      <c r="R589" t="s">
        <v>96</v>
      </c>
      <c r="S589" t="s">
        <v>39</v>
      </c>
      <c r="T589" t="s">
        <v>32</v>
      </c>
    </row>
    <row r="590" spans="1:20" x14ac:dyDescent="0.25">
      <c r="A590" t="s">
        <v>20</v>
      </c>
      <c r="B590" t="s">
        <v>1276</v>
      </c>
      <c r="C590" s="1">
        <v>45875</v>
      </c>
      <c r="D590" t="s">
        <v>1277</v>
      </c>
      <c r="E590" t="s">
        <v>50</v>
      </c>
      <c r="F590" t="s">
        <v>55</v>
      </c>
      <c r="G590">
        <v>31</v>
      </c>
      <c r="H590" t="s">
        <v>44</v>
      </c>
      <c r="I590" t="s">
        <v>26</v>
      </c>
      <c r="J590" t="s">
        <v>45</v>
      </c>
      <c r="K590" t="s">
        <v>68</v>
      </c>
      <c r="L590">
        <v>1</v>
      </c>
      <c r="M590">
        <v>99000</v>
      </c>
      <c r="N590">
        <v>0</v>
      </c>
      <c r="O590">
        <v>99000</v>
      </c>
      <c r="P590">
        <v>16426.150000000001</v>
      </c>
      <c r="Q590" t="s">
        <v>52</v>
      </c>
      <c r="R590" t="s">
        <v>60</v>
      </c>
      <c r="S590" t="s">
        <v>47</v>
      </c>
      <c r="T590" t="s">
        <v>40</v>
      </c>
    </row>
    <row r="591" spans="1:20" x14ac:dyDescent="0.25">
      <c r="A591" t="s">
        <v>20</v>
      </c>
      <c r="B591" t="s">
        <v>1278</v>
      </c>
      <c r="C591" s="1">
        <v>46044</v>
      </c>
      <c r="D591" t="s">
        <v>1279</v>
      </c>
      <c r="E591" t="s">
        <v>72</v>
      </c>
      <c r="F591" t="s">
        <v>55</v>
      </c>
      <c r="G591">
        <v>27</v>
      </c>
      <c r="H591" t="s">
        <v>108</v>
      </c>
      <c r="I591" t="s">
        <v>26</v>
      </c>
      <c r="J591" t="s">
        <v>81</v>
      </c>
      <c r="K591" t="s">
        <v>101</v>
      </c>
      <c r="L591">
        <v>2</v>
      </c>
      <c r="M591">
        <v>234000</v>
      </c>
      <c r="N591">
        <v>0</v>
      </c>
      <c r="O591">
        <v>468000</v>
      </c>
      <c r="P591">
        <v>86498.07</v>
      </c>
      <c r="Q591" t="s">
        <v>906</v>
      </c>
      <c r="R591" t="s">
        <v>96</v>
      </c>
      <c r="S591" t="s">
        <v>47</v>
      </c>
      <c r="T591" t="s">
        <v>40</v>
      </c>
    </row>
    <row r="592" spans="1:20" x14ac:dyDescent="0.25">
      <c r="A592" t="s">
        <v>20</v>
      </c>
      <c r="B592" t="s">
        <v>1280</v>
      </c>
      <c r="C592" s="1">
        <v>45700</v>
      </c>
      <c r="D592" t="s">
        <v>1281</v>
      </c>
      <c r="E592" t="s">
        <v>50</v>
      </c>
      <c r="F592" t="s">
        <v>55</v>
      </c>
      <c r="G592">
        <v>26</v>
      </c>
      <c r="H592" t="s">
        <v>25</v>
      </c>
      <c r="I592" t="s">
        <v>26</v>
      </c>
      <c r="J592" t="s">
        <v>27</v>
      </c>
      <c r="K592" t="s">
        <v>58</v>
      </c>
      <c r="L592">
        <v>1</v>
      </c>
      <c r="M592">
        <v>93000</v>
      </c>
      <c r="N592">
        <v>10</v>
      </c>
      <c r="O592">
        <v>83700</v>
      </c>
      <c r="P592">
        <v>4659.91</v>
      </c>
      <c r="Q592" t="s">
        <v>74</v>
      </c>
      <c r="R592" t="s">
        <v>38</v>
      </c>
      <c r="S592" t="s">
        <v>47</v>
      </c>
      <c r="T592" t="s">
        <v>40</v>
      </c>
    </row>
    <row r="593" spans="1:20" x14ac:dyDescent="0.25">
      <c r="A593" t="s">
        <v>20</v>
      </c>
      <c r="B593" t="s">
        <v>1282</v>
      </c>
      <c r="C593" s="1">
        <v>45903</v>
      </c>
      <c r="D593" t="s">
        <v>1283</v>
      </c>
      <c r="E593" t="s">
        <v>94</v>
      </c>
      <c r="F593" t="s">
        <v>24</v>
      </c>
      <c r="G593">
        <v>43</v>
      </c>
      <c r="H593" t="s">
        <v>95</v>
      </c>
      <c r="I593" t="s">
        <v>26</v>
      </c>
      <c r="J593" t="s">
        <v>81</v>
      </c>
      <c r="K593" t="s">
        <v>28</v>
      </c>
      <c r="L593">
        <v>1</v>
      </c>
      <c r="M593">
        <v>237000</v>
      </c>
      <c r="N593">
        <v>3</v>
      </c>
      <c r="O593">
        <v>229890</v>
      </c>
      <c r="P593">
        <v>16605.78</v>
      </c>
      <c r="Q593" t="s">
        <v>86</v>
      </c>
      <c r="R593" t="s">
        <v>60</v>
      </c>
      <c r="S593" t="s">
        <v>69</v>
      </c>
      <c r="T593" t="s">
        <v>32</v>
      </c>
    </row>
    <row r="594" spans="1:20" x14ac:dyDescent="0.25">
      <c r="A594" t="s">
        <v>20</v>
      </c>
      <c r="B594" t="s">
        <v>1284</v>
      </c>
      <c r="C594" s="1">
        <v>46201</v>
      </c>
      <c r="D594" t="s">
        <v>1285</v>
      </c>
      <c r="E594" t="s">
        <v>50</v>
      </c>
      <c r="F594" t="s">
        <v>24</v>
      </c>
      <c r="G594">
        <v>37</v>
      </c>
      <c r="H594" t="s">
        <v>95</v>
      </c>
      <c r="I594" t="s">
        <v>26</v>
      </c>
      <c r="J594" t="s">
        <v>57</v>
      </c>
      <c r="K594" t="s">
        <v>58</v>
      </c>
      <c r="L594">
        <v>1</v>
      </c>
      <c r="M594">
        <v>174000</v>
      </c>
      <c r="N594">
        <v>0</v>
      </c>
      <c r="O594">
        <v>174000</v>
      </c>
      <c r="P594">
        <v>25712.14</v>
      </c>
      <c r="Q594" t="s">
        <v>46</v>
      </c>
      <c r="R594" t="s">
        <v>38</v>
      </c>
      <c r="S594" t="s">
        <v>61</v>
      </c>
      <c r="T594" t="s">
        <v>32</v>
      </c>
    </row>
    <row r="595" spans="1:20" x14ac:dyDescent="0.25">
      <c r="A595" t="s">
        <v>20</v>
      </c>
      <c r="B595" t="s">
        <v>1286</v>
      </c>
      <c r="C595" s="1">
        <v>45991</v>
      </c>
      <c r="D595" t="s">
        <v>1287</v>
      </c>
      <c r="E595" t="s">
        <v>50</v>
      </c>
      <c r="F595" t="s">
        <v>24</v>
      </c>
      <c r="G595">
        <v>48</v>
      </c>
      <c r="H595" t="s">
        <v>56</v>
      </c>
      <c r="I595" t="s">
        <v>26</v>
      </c>
      <c r="J595" t="s">
        <v>118</v>
      </c>
      <c r="K595" t="s">
        <v>58</v>
      </c>
      <c r="L595">
        <v>1</v>
      </c>
      <c r="M595">
        <v>85000</v>
      </c>
      <c r="N595">
        <v>0</v>
      </c>
      <c r="O595">
        <v>85000</v>
      </c>
      <c r="P595">
        <v>8810.1</v>
      </c>
      <c r="Q595" t="s">
        <v>82</v>
      </c>
      <c r="R595" t="s">
        <v>60</v>
      </c>
      <c r="S595" t="s">
        <v>47</v>
      </c>
      <c r="T595" t="s">
        <v>40</v>
      </c>
    </row>
    <row r="596" spans="1:20" x14ac:dyDescent="0.25">
      <c r="A596" t="s">
        <v>20</v>
      </c>
      <c r="B596" t="s">
        <v>1288</v>
      </c>
      <c r="C596" s="1">
        <v>46190</v>
      </c>
      <c r="D596" t="s">
        <v>1289</v>
      </c>
      <c r="E596" t="s">
        <v>379</v>
      </c>
      <c r="F596" t="s">
        <v>55</v>
      </c>
      <c r="G596">
        <v>52</v>
      </c>
      <c r="H596" t="s">
        <v>95</v>
      </c>
      <c r="I596" t="s">
        <v>26</v>
      </c>
      <c r="J596" t="s">
        <v>27</v>
      </c>
      <c r="K596" t="s">
        <v>58</v>
      </c>
      <c r="L596">
        <v>0</v>
      </c>
      <c r="M596">
        <v>94000</v>
      </c>
      <c r="N596">
        <v>10</v>
      </c>
      <c r="O596">
        <v>84600</v>
      </c>
      <c r="P596">
        <v>9665.14</v>
      </c>
      <c r="Q596" t="s">
        <v>82</v>
      </c>
      <c r="R596" t="s">
        <v>60</v>
      </c>
      <c r="S596" t="s">
        <v>61</v>
      </c>
      <c r="T596" t="s">
        <v>40</v>
      </c>
    </row>
    <row r="597" spans="1:20" x14ac:dyDescent="0.25">
      <c r="A597" t="s">
        <v>20</v>
      </c>
      <c r="B597" t="s">
        <v>1290</v>
      </c>
      <c r="C597" s="1">
        <v>45907</v>
      </c>
      <c r="D597" t="s">
        <v>1291</v>
      </c>
      <c r="E597" t="s">
        <v>129</v>
      </c>
      <c r="F597" t="s">
        <v>55</v>
      </c>
      <c r="G597">
        <v>33</v>
      </c>
      <c r="H597" t="s">
        <v>85</v>
      </c>
      <c r="I597" t="s">
        <v>26</v>
      </c>
      <c r="J597" t="s">
        <v>45</v>
      </c>
      <c r="K597" t="s">
        <v>28</v>
      </c>
      <c r="L597">
        <v>2</v>
      </c>
      <c r="M597">
        <v>98000</v>
      </c>
      <c r="N597">
        <v>10</v>
      </c>
      <c r="O597">
        <v>176400</v>
      </c>
      <c r="P597">
        <v>10803.49</v>
      </c>
      <c r="Q597" t="s">
        <v>59</v>
      </c>
      <c r="R597" t="s">
        <v>30</v>
      </c>
      <c r="S597" t="s">
        <v>31</v>
      </c>
      <c r="T597" t="s">
        <v>40</v>
      </c>
    </row>
    <row r="598" spans="1:20" x14ac:dyDescent="0.25">
      <c r="A598" t="s">
        <v>20</v>
      </c>
      <c r="B598" t="s">
        <v>1292</v>
      </c>
      <c r="C598" s="1">
        <v>45784</v>
      </c>
      <c r="D598" t="s">
        <v>1293</v>
      </c>
      <c r="E598" t="s">
        <v>35</v>
      </c>
      <c r="F598" t="s">
        <v>55</v>
      </c>
      <c r="G598">
        <v>28</v>
      </c>
      <c r="H598" t="s">
        <v>51</v>
      </c>
      <c r="I598" t="s">
        <v>26</v>
      </c>
      <c r="J598" t="s">
        <v>77</v>
      </c>
      <c r="K598" t="s">
        <v>101</v>
      </c>
      <c r="L598">
        <v>1</v>
      </c>
      <c r="M598">
        <v>195000</v>
      </c>
      <c r="N598">
        <v>10</v>
      </c>
      <c r="O598">
        <v>175500</v>
      </c>
      <c r="P598">
        <v>12254.53</v>
      </c>
      <c r="Q598" t="s">
        <v>52</v>
      </c>
      <c r="R598" t="s">
        <v>126</v>
      </c>
      <c r="S598" t="s">
        <v>61</v>
      </c>
      <c r="T598" t="s">
        <v>40</v>
      </c>
    </row>
    <row r="599" spans="1:20" x14ac:dyDescent="0.25">
      <c r="A599" t="s">
        <v>20</v>
      </c>
      <c r="B599" t="s">
        <v>1294</v>
      </c>
      <c r="C599" s="1">
        <v>45886</v>
      </c>
      <c r="D599" t="s">
        <v>1295</v>
      </c>
      <c r="E599" t="s">
        <v>23</v>
      </c>
      <c r="F599" t="s">
        <v>24</v>
      </c>
      <c r="G599">
        <v>36</v>
      </c>
      <c r="H599" t="s">
        <v>95</v>
      </c>
      <c r="I599" t="s">
        <v>26</v>
      </c>
      <c r="J599" t="s">
        <v>77</v>
      </c>
      <c r="K599" t="s">
        <v>28</v>
      </c>
      <c r="L599">
        <v>1</v>
      </c>
      <c r="M599">
        <v>196000</v>
      </c>
      <c r="N599">
        <v>5</v>
      </c>
      <c r="O599">
        <v>186200</v>
      </c>
      <c r="P599">
        <v>14305.32</v>
      </c>
      <c r="Q599" t="s">
        <v>82</v>
      </c>
      <c r="R599" t="s">
        <v>30</v>
      </c>
      <c r="S599" t="s">
        <v>39</v>
      </c>
      <c r="T599" t="s">
        <v>32</v>
      </c>
    </row>
    <row r="600" spans="1:20" x14ac:dyDescent="0.25">
      <c r="A600" t="s">
        <v>20</v>
      </c>
      <c r="B600" t="s">
        <v>1296</v>
      </c>
      <c r="C600" s="1">
        <v>45659</v>
      </c>
      <c r="D600" t="s">
        <v>1297</v>
      </c>
      <c r="E600" t="s">
        <v>80</v>
      </c>
      <c r="F600" t="s">
        <v>55</v>
      </c>
      <c r="G600">
        <v>39</v>
      </c>
      <c r="H600" t="s">
        <v>56</v>
      </c>
      <c r="I600" t="s">
        <v>26</v>
      </c>
      <c r="J600" t="s">
        <v>27</v>
      </c>
      <c r="K600" t="s">
        <v>58</v>
      </c>
      <c r="L600">
        <v>1</v>
      </c>
      <c r="M600">
        <v>95000</v>
      </c>
      <c r="N600">
        <v>5</v>
      </c>
      <c r="O600">
        <v>90250</v>
      </c>
      <c r="P600">
        <v>9573.15</v>
      </c>
      <c r="Q600" t="s">
        <v>105</v>
      </c>
      <c r="R600" t="s">
        <v>60</v>
      </c>
      <c r="S600" t="s">
        <v>39</v>
      </c>
      <c r="T600" t="s">
        <v>32</v>
      </c>
    </row>
    <row r="601" spans="1:20" x14ac:dyDescent="0.25">
      <c r="A601" t="s">
        <v>20</v>
      </c>
      <c r="B601" t="s">
        <v>1298</v>
      </c>
      <c r="C601" s="1">
        <v>45981</v>
      </c>
      <c r="D601" t="s">
        <v>1299</v>
      </c>
      <c r="E601" t="s">
        <v>72</v>
      </c>
      <c r="F601" t="s">
        <v>55</v>
      </c>
      <c r="G601">
        <v>29</v>
      </c>
      <c r="H601" t="s">
        <v>44</v>
      </c>
      <c r="I601" t="s">
        <v>26</v>
      </c>
      <c r="J601" t="s">
        <v>36</v>
      </c>
      <c r="K601" t="s">
        <v>58</v>
      </c>
      <c r="L601">
        <v>1</v>
      </c>
      <c r="M601">
        <v>113000</v>
      </c>
      <c r="N601">
        <v>7</v>
      </c>
      <c r="O601">
        <v>105090</v>
      </c>
      <c r="P601">
        <v>5391.97</v>
      </c>
      <c r="Q601" t="s">
        <v>46</v>
      </c>
      <c r="R601" t="s">
        <v>96</v>
      </c>
      <c r="S601" t="s">
        <v>87</v>
      </c>
      <c r="T601" t="s">
        <v>40</v>
      </c>
    </row>
    <row r="602" spans="1:20" x14ac:dyDescent="0.25">
      <c r="A602" t="s">
        <v>20</v>
      </c>
      <c r="B602" t="s">
        <v>1300</v>
      </c>
      <c r="C602" s="1">
        <v>45784</v>
      </c>
      <c r="D602" t="s">
        <v>1301</v>
      </c>
      <c r="E602" t="s">
        <v>35</v>
      </c>
      <c r="F602" t="s">
        <v>55</v>
      </c>
      <c r="G602">
        <v>37</v>
      </c>
      <c r="H602" t="s">
        <v>25</v>
      </c>
      <c r="I602" t="s">
        <v>26</v>
      </c>
      <c r="J602" t="s">
        <v>45</v>
      </c>
      <c r="K602" t="s">
        <v>58</v>
      </c>
      <c r="L602">
        <v>1</v>
      </c>
      <c r="M602">
        <v>98000</v>
      </c>
      <c r="N602">
        <v>7</v>
      </c>
      <c r="O602">
        <v>91140</v>
      </c>
      <c r="P602">
        <v>3053.66</v>
      </c>
      <c r="Q602" t="s">
        <v>74</v>
      </c>
      <c r="R602" t="s">
        <v>38</v>
      </c>
      <c r="S602" t="s">
        <v>69</v>
      </c>
      <c r="T602" t="s">
        <v>40</v>
      </c>
    </row>
    <row r="603" spans="1:20" x14ac:dyDescent="0.25">
      <c r="A603" t="s">
        <v>20</v>
      </c>
      <c r="B603" t="s">
        <v>1302</v>
      </c>
      <c r="C603" s="1">
        <v>45841</v>
      </c>
      <c r="D603" t="s">
        <v>1303</v>
      </c>
      <c r="E603" t="s">
        <v>94</v>
      </c>
      <c r="F603" t="s">
        <v>24</v>
      </c>
      <c r="G603">
        <v>51</v>
      </c>
      <c r="H603" t="s">
        <v>44</v>
      </c>
      <c r="I603" t="s">
        <v>26</v>
      </c>
      <c r="J603" t="s">
        <v>45</v>
      </c>
      <c r="K603" t="s">
        <v>68</v>
      </c>
      <c r="L603">
        <v>1</v>
      </c>
      <c r="M603">
        <v>97000</v>
      </c>
      <c r="N603">
        <v>10</v>
      </c>
      <c r="O603">
        <v>87300</v>
      </c>
      <c r="P603">
        <v>3076.15</v>
      </c>
      <c r="Q603" t="s">
        <v>105</v>
      </c>
      <c r="R603" t="s">
        <v>38</v>
      </c>
      <c r="S603" t="s">
        <v>39</v>
      </c>
      <c r="T603" t="s">
        <v>40</v>
      </c>
    </row>
    <row r="604" spans="1:20" x14ac:dyDescent="0.25">
      <c r="A604" t="s">
        <v>20</v>
      </c>
      <c r="B604" t="s">
        <v>1304</v>
      </c>
      <c r="C604" s="1">
        <v>45947</v>
      </c>
      <c r="D604" t="s">
        <v>1305</v>
      </c>
      <c r="E604" t="s">
        <v>50</v>
      </c>
      <c r="F604" t="s">
        <v>24</v>
      </c>
      <c r="G604">
        <v>38</v>
      </c>
      <c r="H604" t="s">
        <v>56</v>
      </c>
      <c r="I604" t="s">
        <v>26</v>
      </c>
      <c r="J604" t="s">
        <v>57</v>
      </c>
      <c r="K604" t="s">
        <v>28</v>
      </c>
      <c r="L604">
        <v>1</v>
      </c>
      <c r="M604">
        <v>175000</v>
      </c>
      <c r="N604">
        <v>0</v>
      </c>
      <c r="O604">
        <v>175000</v>
      </c>
      <c r="P604">
        <v>27415.27</v>
      </c>
      <c r="Q604" t="s">
        <v>37</v>
      </c>
      <c r="R604" t="s">
        <v>60</v>
      </c>
      <c r="S604" t="s">
        <v>87</v>
      </c>
      <c r="T604" t="s">
        <v>32</v>
      </c>
    </row>
    <row r="605" spans="1:20" x14ac:dyDescent="0.25">
      <c r="A605" t="s">
        <v>20</v>
      </c>
      <c r="B605" t="s">
        <v>1306</v>
      </c>
      <c r="C605" s="1">
        <v>46152</v>
      </c>
      <c r="D605" t="s">
        <v>1307</v>
      </c>
      <c r="E605" t="s">
        <v>129</v>
      </c>
      <c r="F605" t="s">
        <v>55</v>
      </c>
      <c r="G605">
        <v>38</v>
      </c>
      <c r="H605" t="s">
        <v>85</v>
      </c>
      <c r="I605" t="s">
        <v>26</v>
      </c>
      <c r="J605" t="s">
        <v>104</v>
      </c>
      <c r="K605" t="s">
        <v>68</v>
      </c>
      <c r="L605">
        <v>1</v>
      </c>
      <c r="M605">
        <v>171000</v>
      </c>
      <c r="N605">
        <v>2</v>
      </c>
      <c r="O605">
        <v>167580</v>
      </c>
      <c r="P605">
        <v>25132.55</v>
      </c>
      <c r="Q605" t="s">
        <v>52</v>
      </c>
      <c r="R605" t="s">
        <v>30</v>
      </c>
      <c r="S605" t="s">
        <v>39</v>
      </c>
      <c r="T605" t="s">
        <v>32</v>
      </c>
    </row>
    <row r="606" spans="1:20" x14ac:dyDescent="0.25">
      <c r="A606" t="s">
        <v>20</v>
      </c>
      <c r="B606" t="s">
        <v>1308</v>
      </c>
      <c r="C606" s="1">
        <v>45715</v>
      </c>
      <c r="D606" t="s">
        <v>1309</v>
      </c>
      <c r="E606" t="s">
        <v>43</v>
      </c>
      <c r="F606" t="s">
        <v>24</v>
      </c>
      <c r="G606">
        <v>26</v>
      </c>
      <c r="H606" t="s">
        <v>95</v>
      </c>
      <c r="I606" t="s">
        <v>26</v>
      </c>
      <c r="J606" t="s">
        <v>45</v>
      </c>
      <c r="K606" t="s">
        <v>68</v>
      </c>
      <c r="L606">
        <v>2</v>
      </c>
      <c r="M606">
        <v>98000</v>
      </c>
      <c r="N606">
        <v>10</v>
      </c>
      <c r="O606">
        <v>176400</v>
      </c>
      <c r="P606">
        <v>3724.15</v>
      </c>
      <c r="Q606" t="s">
        <v>105</v>
      </c>
      <c r="R606" t="s">
        <v>30</v>
      </c>
      <c r="S606" t="s">
        <v>87</v>
      </c>
      <c r="T606" t="s">
        <v>40</v>
      </c>
    </row>
    <row r="607" spans="1:20" x14ac:dyDescent="0.25">
      <c r="A607" t="s">
        <v>20</v>
      </c>
      <c r="B607" t="s">
        <v>1310</v>
      </c>
      <c r="C607" s="1">
        <v>45692</v>
      </c>
      <c r="D607" t="s">
        <v>1311</v>
      </c>
      <c r="E607" t="s">
        <v>50</v>
      </c>
      <c r="F607" t="s">
        <v>24</v>
      </c>
      <c r="G607">
        <v>27</v>
      </c>
      <c r="H607" t="s">
        <v>95</v>
      </c>
      <c r="I607" t="s">
        <v>26</v>
      </c>
      <c r="J607" t="s">
        <v>81</v>
      </c>
      <c r="K607" t="s">
        <v>58</v>
      </c>
      <c r="L607">
        <v>2</v>
      </c>
      <c r="M607">
        <v>237000</v>
      </c>
      <c r="N607">
        <v>10</v>
      </c>
      <c r="O607">
        <v>426600</v>
      </c>
      <c r="P607">
        <v>33900.82</v>
      </c>
      <c r="Q607" t="s">
        <v>74</v>
      </c>
      <c r="R607" t="s">
        <v>96</v>
      </c>
      <c r="S607" t="s">
        <v>61</v>
      </c>
      <c r="T607" t="s">
        <v>40</v>
      </c>
    </row>
    <row r="608" spans="1:20" x14ac:dyDescent="0.25">
      <c r="A608" t="s">
        <v>20</v>
      </c>
      <c r="B608" t="s">
        <v>1312</v>
      </c>
      <c r="C608" s="1">
        <v>46113</v>
      </c>
      <c r="D608" t="s">
        <v>1313</v>
      </c>
      <c r="E608" t="s">
        <v>80</v>
      </c>
      <c r="F608" t="s">
        <v>55</v>
      </c>
      <c r="G608">
        <v>43</v>
      </c>
      <c r="H608" t="s">
        <v>85</v>
      </c>
      <c r="I608" t="s">
        <v>26</v>
      </c>
      <c r="J608" t="s">
        <v>27</v>
      </c>
      <c r="K608" t="s">
        <v>28</v>
      </c>
      <c r="L608">
        <v>2</v>
      </c>
      <c r="M608">
        <v>97000</v>
      </c>
      <c r="N608">
        <v>5</v>
      </c>
      <c r="O608">
        <v>184300</v>
      </c>
      <c r="P608">
        <v>26572.97</v>
      </c>
      <c r="Q608" t="s">
        <v>82</v>
      </c>
      <c r="R608" t="s">
        <v>30</v>
      </c>
      <c r="S608" t="s">
        <v>47</v>
      </c>
      <c r="T608" t="s">
        <v>32</v>
      </c>
    </row>
    <row r="609" spans="1:20" x14ac:dyDescent="0.25">
      <c r="A609" t="s">
        <v>20</v>
      </c>
      <c r="B609" t="s">
        <v>1314</v>
      </c>
      <c r="C609" s="1">
        <v>45843</v>
      </c>
      <c r="D609" t="s">
        <v>1315</v>
      </c>
      <c r="E609" t="s">
        <v>35</v>
      </c>
      <c r="F609" t="s">
        <v>24</v>
      </c>
      <c r="G609">
        <v>44</v>
      </c>
      <c r="H609" t="s">
        <v>85</v>
      </c>
      <c r="I609" t="s">
        <v>26</v>
      </c>
      <c r="J609" t="s">
        <v>118</v>
      </c>
      <c r="K609" t="s">
        <v>101</v>
      </c>
      <c r="L609">
        <v>1</v>
      </c>
      <c r="M609">
        <v>87000</v>
      </c>
      <c r="N609">
        <v>0</v>
      </c>
      <c r="O609">
        <v>87000</v>
      </c>
      <c r="P609">
        <v>10847.05</v>
      </c>
      <c r="Q609" t="s">
        <v>37</v>
      </c>
      <c r="R609" t="s">
        <v>30</v>
      </c>
      <c r="S609" t="s">
        <v>39</v>
      </c>
      <c r="T609" t="s">
        <v>32</v>
      </c>
    </row>
    <row r="610" spans="1:20" x14ac:dyDescent="0.25">
      <c r="A610" t="s">
        <v>20</v>
      </c>
      <c r="B610" t="s">
        <v>1316</v>
      </c>
      <c r="C610" s="1">
        <v>46207</v>
      </c>
      <c r="D610" t="s">
        <v>1317</v>
      </c>
      <c r="E610" t="s">
        <v>35</v>
      </c>
      <c r="F610" t="s">
        <v>55</v>
      </c>
      <c r="G610">
        <v>53</v>
      </c>
      <c r="H610" t="s">
        <v>194</v>
      </c>
      <c r="I610" t="s">
        <v>26</v>
      </c>
      <c r="J610" t="s">
        <v>36</v>
      </c>
      <c r="K610" t="s">
        <v>28</v>
      </c>
      <c r="L610">
        <v>1</v>
      </c>
      <c r="M610">
        <v>117000</v>
      </c>
      <c r="N610">
        <v>0</v>
      </c>
      <c r="O610">
        <v>117000</v>
      </c>
      <c r="P610">
        <v>20211.099999999999</v>
      </c>
      <c r="Q610" t="s">
        <v>52</v>
      </c>
      <c r="R610" t="s">
        <v>30</v>
      </c>
      <c r="S610" t="s">
        <v>31</v>
      </c>
      <c r="T610" t="s">
        <v>32</v>
      </c>
    </row>
    <row r="611" spans="1:20" x14ac:dyDescent="0.25">
      <c r="A611" t="s">
        <v>20</v>
      </c>
      <c r="B611" t="s">
        <v>1318</v>
      </c>
      <c r="C611" s="1">
        <v>45869</v>
      </c>
      <c r="D611" t="s">
        <v>1319</v>
      </c>
      <c r="E611" t="s">
        <v>23</v>
      </c>
      <c r="F611" t="s">
        <v>24</v>
      </c>
      <c r="G611">
        <v>30</v>
      </c>
      <c r="H611" t="s">
        <v>85</v>
      </c>
      <c r="I611" t="s">
        <v>26</v>
      </c>
      <c r="J611" t="s">
        <v>118</v>
      </c>
      <c r="K611" t="s">
        <v>28</v>
      </c>
      <c r="L611">
        <v>1</v>
      </c>
      <c r="M611">
        <v>83000</v>
      </c>
      <c r="N611">
        <v>0</v>
      </c>
      <c r="O611">
        <v>83000</v>
      </c>
      <c r="P611">
        <v>16976.990000000002</v>
      </c>
      <c r="Q611" t="s">
        <v>82</v>
      </c>
      <c r="R611" t="s">
        <v>30</v>
      </c>
      <c r="S611" t="s">
        <v>87</v>
      </c>
      <c r="T611" t="s">
        <v>40</v>
      </c>
    </row>
    <row r="612" spans="1:20" x14ac:dyDescent="0.25">
      <c r="A612" t="s">
        <v>20</v>
      </c>
      <c r="B612" t="s">
        <v>1320</v>
      </c>
      <c r="C612" s="1">
        <v>45705</v>
      </c>
      <c r="D612" t="s">
        <v>1321</v>
      </c>
      <c r="E612" t="s">
        <v>72</v>
      </c>
      <c r="F612" t="s">
        <v>24</v>
      </c>
      <c r="G612">
        <v>53</v>
      </c>
      <c r="H612" t="s">
        <v>73</v>
      </c>
      <c r="I612" t="s">
        <v>26</v>
      </c>
      <c r="J612" t="s">
        <v>64</v>
      </c>
      <c r="K612" t="s">
        <v>68</v>
      </c>
      <c r="L612">
        <v>1</v>
      </c>
      <c r="M612">
        <v>127000</v>
      </c>
      <c r="N612">
        <v>0</v>
      </c>
      <c r="O612">
        <v>127000</v>
      </c>
      <c r="P612">
        <v>24155.34</v>
      </c>
      <c r="Q612" t="s">
        <v>46</v>
      </c>
      <c r="R612" t="s">
        <v>60</v>
      </c>
      <c r="S612" t="s">
        <v>87</v>
      </c>
      <c r="T612" t="s">
        <v>40</v>
      </c>
    </row>
    <row r="613" spans="1:20" x14ac:dyDescent="0.25">
      <c r="A613" t="s">
        <v>20</v>
      </c>
      <c r="B613" t="s">
        <v>1322</v>
      </c>
      <c r="C613" s="1">
        <v>45850</v>
      </c>
      <c r="D613" t="s">
        <v>1323</v>
      </c>
      <c r="E613" t="s">
        <v>72</v>
      </c>
      <c r="F613" t="s">
        <v>55</v>
      </c>
      <c r="G613">
        <v>29</v>
      </c>
      <c r="H613" t="s">
        <v>44</v>
      </c>
      <c r="I613" t="s">
        <v>26</v>
      </c>
      <c r="J613" t="s">
        <v>81</v>
      </c>
      <c r="K613" t="s">
        <v>68</v>
      </c>
      <c r="L613">
        <v>1</v>
      </c>
      <c r="M613">
        <v>237000</v>
      </c>
      <c r="N613">
        <v>0</v>
      </c>
      <c r="O613">
        <v>237000</v>
      </c>
      <c r="P613">
        <v>45396.87</v>
      </c>
      <c r="Q613" t="s">
        <v>52</v>
      </c>
      <c r="R613" t="s">
        <v>60</v>
      </c>
      <c r="S613" t="s">
        <v>39</v>
      </c>
      <c r="T613" t="s">
        <v>32</v>
      </c>
    </row>
    <row r="614" spans="1:20" x14ac:dyDescent="0.25">
      <c r="A614" t="s">
        <v>20</v>
      </c>
      <c r="B614" t="s">
        <v>1324</v>
      </c>
      <c r="C614" s="1">
        <v>45825</v>
      </c>
      <c r="D614" t="s">
        <v>1325</v>
      </c>
      <c r="E614" t="s">
        <v>35</v>
      </c>
      <c r="F614" t="s">
        <v>55</v>
      </c>
      <c r="G614">
        <v>45</v>
      </c>
      <c r="H614" t="s">
        <v>95</v>
      </c>
      <c r="I614" t="s">
        <v>26</v>
      </c>
      <c r="J614" t="s">
        <v>81</v>
      </c>
      <c r="K614" t="s">
        <v>101</v>
      </c>
      <c r="L614">
        <v>1</v>
      </c>
      <c r="M614">
        <v>235000</v>
      </c>
      <c r="N614">
        <v>3</v>
      </c>
      <c r="O614">
        <v>227950</v>
      </c>
      <c r="P614">
        <v>33883.74</v>
      </c>
      <c r="Q614" t="s">
        <v>59</v>
      </c>
      <c r="R614" t="s">
        <v>96</v>
      </c>
      <c r="S614" t="s">
        <v>87</v>
      </c>
      <c r="T614" t="s">
        <v>32</v>
      </c>
    </row>
    <row r="615" spans="1:20" x14ac:dyDescent="0.25">
      <c r="A615" t="s">
        <v>20</v>
      </c>
      <c r="B615" t="s">
        <v>1326</v>
      </c>
      <c r="C615" s="1">
        <v>46039</v>
      </c>
      <c r="D615" t="s">
        <v>1327</v>
      </c>
      <c r="E615" t="s">
        <v>129</v>
      </c>
      <c r="F615" t="s">
        <v>24</v>
      </c>
      <c r="G615">
        <v>52</v>
      </c>
      <c r="H615" t="s">
        <v>51</v>
      </c>
      <c r="I615" t="s">
        <v>26</v>
      </c>
      <c r="J615" t="s">
        <v>27</v>
      </c>
      <c r="K615" t="s">
        <v>68</v>
      </c>
      <c r="L615">
        <v>3</v>
      </c>
      <c r="M615">
        <v>97000</v>
      </c>
      <c r="N615">
        <v>10</v>
      </c>
      <c r="O615">
        <v>261900</v>
      </c>
      <c r="P615">
        <v>28193.45</v>
      </c>
      <c r="Q615" t="s">
        <v>86</v>
      </c>
      <c r="R615" t="s">
        <v>38</v>
      </c>
      <c r="S615" t="s">
        <v>47</v>
      </c>
      <c r="T615" t="s">
        <v>32</v>
      </c>
    </row>
    <row r="616" spans="1:20" x14ac:dyDescent="0.25">
      <c r="A616" t="s">
        <v>20</v>
      </c>
      <c r="B616" t="s">
        <v>1328</v>
      </c>
      <c r="C616" s="1">
        <v>46219</v>
      </c>
      <c r="D616" t="s">
        <v>1329</v>
      </c>
      <c r="E616" t="s">
        <v>23</v>
      </c>
      <c r="F616" t="s">
        <v>24</v>
      </c>
      <c r="G616">
        <v>46</v>
      </c>
      <c r="H616" t="s">
        <v>44</v>
      </c>
      <c r="I616" t="s">
        <v>26</v>
      </c>
      <c r="J616" t="s">
        <v>81</v>
      </c>
      <c r="K616" t="s">
        <v>28</v>
      </c>
      <c r="L616">
        <v>1</v>
      </c>
      <c r="M616">
        <v>233000</v>
      </c>
      <c r="N616">
        <v>7</v>
      </c>
      <c r="O616">
        <v>216690</v>
      </c>
      <c r="P616">
        <v>31874.68</v>
      </c>
      <c r="Q616" t="s">
        <v>86</v>
      </c>
      <c r="R616" t="s">
        <v>60</v>
      </c>
      <c r="S616" t="s">
        <v>39</v>
      </c>
      <c r="T616" t="s">
        <v>32</v>
      </c>
    </row>
    <row r="617" spans="1:20" x14ac:dyDescent="0.25">
      <c r="A617" t="s">
        <v>20</v>
      </c>
      <c r="B617" t="s">
        <v>1330</v>
      </c>
      <c r="C617" s="1">
        <v>45765</v>
      </c>
      <c r="D617" t="s">
        <v>1331</v>
      </c>
      <c r="E617" t="s">
        <v>129</v>
      </c>
      <c r="F617" t="s">
        <v>24</v>
      </c>
      <c r="G617">
        <v>27</v>
      </c>
      <c r="H617" t="s">
        <v>51</v>
      </c>
      <c r="I617" t="s">
        <v>26</v>
      </c>
      <c r="J617" t="s">
        <v>111</v>
      </c>
      <c r="K617" t="s">
        <v>58</v>
      </c>
      <c r="L617">
        <v>1</v>
      </c>
      <c r="M617">
        <v>125000</v>
      </c>
      <c r="N617">
        <v>2</v>
      </c>
      <c r="O617">
        <v>122500</v>
      </c>
      <c r="P617">
        <v>19320.509999999998</v>
      </c>
      <c r="Q617" t="s">
        <v>82</v>
      </c>
      <c r="R617" t="s">
        <v>60</v>
      </c>
      <c r="S617" t="s">
        <v>61</v>
      </c>
      <c r="T617" t="s">
        <v>40</v>
      </c>
    </row>
    <row r="618" spans="1:20" x14ac:dyDescent="0.25">
      <c r="A618" t="s">
        <v>20</v>
      </c>
      <c r="B618" t="s">
        <v>1332</v>
      </c>
      <c r="C618" s="1">
        <v>46056</v>
      </c>
      <c r="D618" t="s">
        <v>1333</v>
      </c>
      <c r="E618" t="s">
        <v>43</v>
      </c>
      <c r="F618" t="s">
        <v>24</v>
      </c>
      <c r="G618">
        <v>31</v>
      </c>
      <c r="H618" t="s">
        <v>51</v>
      </c>
      <c r="I618" t="s">
        <v>26</v>
      </c>
      <c r="J618" t="s">
        <v>36</v>
      </c>
      <c r="K618" t="s">
        <v>58</v>
      </c>
      <c r="L618">
        <v>1</v>
      </c>
      <c r="M618">
        <v>113000</v>
      </c>
      <c r="N618">
        <v>2</v>
      </c>
      <c r="O618">
        <v>110740</v>
      </c>
      <c r="P618">
        <v>18287.97</v>
      </c>
      <c r="Q618" t="s">
        <v>37</v>
      </c>
      <c r="R618" t="s">
        <v>60</v>
      </c>
      <c r="S618" t="s">
        <v>69</v>
      </c>
      <c r="T618" t="s">
        <v>32</v>
      </c>
    </row>
    <row r="619" spans="1:20" x14ac:dyDescent="0.25">
      <c r="A619" t="s">
        <v>20</v>
      </c>
      <c r="B619" t="s">
        <v>1334</v>
      </c>
      <c r="C619" s="1">
        <v>46037</v>
      </c>
      <c r="D619" t="s">
        <v>1335</v>
      </c>
      <c r="E619" t="s">
        <v>94</v>
      </c>
      <c r="F619" t="s">
        <v>24</v>
      </c>
      <c r="G619">
        <v>35</v>
      </c>
      <c r="H619" t="s">
        <v>73</v>
      </c>
      <c r="I619" t="s">
        <v>26</v>
      </c>
      <c r="J619" t="s">
        <v>45</v>
      </c>
      <c r="K619" t="s">
        <v>68</v>
      </c>
      <c r="L619">
        <v>1</v>
      </c>
      <c r="M619">
        <v>100000</v>
      </c>
      <c r="N619">
        <v>3</v>
      </c>
      <c r="O619">
        <v>97000</v>
      </c>
      <c r="P619">
        <v>18365.62</v>
      </c>
      <c r="Q619" t="s">
        <v>46</v>
      </c>
      <c r="R619" t="s">
        <v>60</v>
      </c>
      <c r="S619" t="s">
        <v>47</v>
      </c>
      <c r="T619" t="s">
        <v>40</v>
      </c>
    </row>
    <row r="620" spans="1:20" x14ac:dyDescent="0.25">
      <c r="A620" t="s">
        <v>20</v>
      </c>
      <c r="B620" t="s">
        <v>1336</v>
      </c>
      <c r="C620" s="1">
        <v>45747</v>
      </c>
      <c r="D620" t="s">
        <v>1337</v>
      </c>
      <c r="E620" t="s">
        <v>94</v>
      </c>
      <c r="F620" t="s">
        <v>24</v>
      </c>
      <c r="G620">
        <v>39</v>
      </c>
      <c r="H620" t="s">
        <v>95</v>
      </c>
      <c r="I620" t="s">
        <v>26</v>
      </c>
      <c r="J620" t="s">
        <v>104</v>
      </c>
      <c r="K620" t="s">
        <v>28</v>
      </c>
      <c r="L620">
        <v>1</v>
      </c>
      <c r="M620">
        <v>172000</v>
      </c>
      <c r="N620">
        <v>2</v>
      </c>
      <c r="O620">
        <v>168560</v>
      </c>
      <c r="P620">
        <v>28100.93</v>
      </c>
      <c r="Q620" t="s">
        <v>105</v>
      </c>
      <c r="R620" t="s">
        <v>30</v>
      </c>
      <c r="S620" t="s">
        <v>61</v>
      </c>
      <c r="T620" t="s">
        <v>32</v>
      </c>
    </row>
    <row r="621" spans="1:20" x14ac:dyDescent="0.25">
      <c r="A621" t="s">
        <v>20</v>
      </c>
      <c r="B621" t="s">
        <v>1338</v>
      </c>
      <c r="C621" s="1">
        <v>46162</v>
      </c>
      <c r="D621" t="s">
        <v>1339</v>
      </c>
      <c r="E621" t="s">
        <v>94</v>
      </c>
      <c r="F621" t="s">
        <v>55</v>
      </c>
      <c r="G621">
        <v>20</v>
      </c>
      <c r="H621" t="s">
        <v>73</v>
      </c>
      <c r="I621" t="s">
        <v>26</v>
      </c>
      <c r="J621" t="s">
        <v>27</v>
      </c>
      <c r="K621" t="s">
        <v>58</v>
      </c>
      <c r="L621">
        <v>1</v>
      </c>
      <c r="M621">
        <v>93000</v>
      </c>
      <c r="N621">
        <v>10</v>
      </c>
      <c r="O621">
        <v>83700</v>
      </c>
      <c r="P621">
        <v>7969.9</v>
      </c>
      <c r="Q621" t="s">
        <v>46</v>
      </c>
      <c r="R621" t="s">
        <v>30</v>
      </c>
      <c r="S621" t="s">
        <v>47</v>
      </c>
      <c r="T621" t="s">
        <v>32</v>
      </c>
    </row>
    <row r="622" spans="1:20" x14ac:dyDescent="0.25">
      <c r="A622" t="s">
        <v>20</v>
      </c>
      <c r="B622" t="s">
        <v>1340</v>
      </c>
      <c r="C622" s="1">
        <v>46205</v>
      </c>
      <c r="D622" t="s">
        <v>1341</v>
      </c>
      <c r="E622" t="s">
        <v>50</v>
      </c>
      <c r="F622" t="s">
        <v>55</v>
      </c>
      <c r="G622">
        <v>42</v>
      </c>
      <c r="H622" t="s">
        <v>44</v>
      </c>
      <c r="I622" t="s">
        <v>26</v>
      </c>
      <c r="J622" t="s">
        <v>81</v>
      </c>
      <c r="K622" t="s">
        <v>58</v>
      </c>
      <c r="L622">
        <v>2</v>
      </c>
      <c r="M622">
        <v>237000</v>
      </c>
      <c r="N622">
        <v>0</v>
      </c>
      <c r="O622">
        <v>474000</v>
      </c>
      <c r="P622">
        <v>63658.58</v>
      </c>
      <c r="Q622" t="s">
        <v>226</v>
      </c>
      <c r="R622" t="s">
        <v>96</v>
      </c>
      <c r="S622" t="s">
        <v>31</v>
      </c>
      <c r="T622" t="s">
        <v>32</v>
      </c>
    </row>
    <row r="623" spans="1:20" x14ac:dyDescent="0.25">
      <c r="A623" t="s">
        <v>20</v>
      </c>
      <c r="B623" t="s">
        <v>1342</v>
      </c>
      <c r="C623" s="1">
        <v>45832</v>
      </c>
      <c r="D623" t="s">
        <v>1343</v>
      </c>
      <c r="E623" t="s">
        <v>23</v>
      </c>
      <c r="F623" t="s">
        <v>24</v>
      </c>
      <c r="G623">
        <v>43</v>
      </c>
      <c r="H623" t="s">
        <v>73</v>
      </c>
      <c r="I623" t="s">
        <v>26</v>
      </c>
      <c r="J623" t="s">
        <v>64</v>
      </c>
      <c r="K623" t="s">
        <v>68</v>
      </c>
      <c r="L623">
        <v>1</v>
      </c>
      <c r="M623">
        <v>123000</v>
      </c>
      <c r="N623">
        <v>5</v>
      </c>
      <c r="O623">
        <v>116850</v>
      </c>
      <c r="P623">
        <v>13596.3</v>
      </c>
      <c r="Q623" t="s">
        <v>82</v>
      </c>
      <c r="R623" t="s">
        <v>60</v>
      </c>
      <c r="S623" t="s">
        <v>39</v>
      </c>
      <c r="T623" t="s">
        <v>40</v>
      </c>
    </row>
    <row r="624" spans="1:20" x14ac:dyDescent="0.25">
      <c r="A624" t="s">
        <v>20</v>
      </c>
      <c r="B624" t="s">
        <v>1344</v>
      </c>
      <c r="C624" s="1">
        <v>45880</v>
      </c>
      <c r="D624" t="s">
        <v>1345</v>
      </c>
      <c r="E624" t="s">
        <v>80</v>
      </c>
      <c r="F624" t="s">
        <v>24</v>
      </c>
      <c r="G624">
        <v>39</v>
      </c>
      <c r="H624" t="s">
        <v>51</v>
      </c>
      <c r="I624" t="s">
        <v>26</v>
      </c>
      <c r="J624" t="s">
        <v>104</v>
      </c>
      <c r="K624" t="s">
        <v>58</v>
      </c>
      <c r="L624">
        <v>1</v>
      </c>
      <c r="M624">
        <v>172000</v>
      </c>
      <c r="N624">
        <v>10</v>
      </c>
      <c r="O624">
        <v>154800</v>
      </c>
      <c r="P624">
        <v>8899.1</v>
      </c>
      <c r="Q624" t="s">
        <v>105</v>
      </c>
      <c r="R624" t="s">
        <v>60</v>
      </c>
      <c r="S624" t="s">
        <v>69</v>
      </c>
      <c r="T624" t="s">
        <v>40</v>
      </c>
    </row>
    <row r="625" spans="1:20" x14ac:dyDescent="0.25">
      <c r="A625" t="s">
        <v>20</v>
      </c>
      <c r="B625" t="s">
        <v>1346</v>
      </c>
      <c r="C625" s="1">
        <v>45848</v>
      </c>
      <c r="D625" t="s">
        <v>1347</v>
      </c>
      <c r="E625" t="s">
        <v>43</v>
      </c>
      <c r="F625" t="s">
        <v>55</v>
      </c>
      <c r="G625">
        <v>45</v>
      </c>
      <c r="H625" t="s">
        <v>51</v>
      </c>
      <c r="I625" t="s">
        <v>26</v>
      </c>
      <c r="J625" t="s">
        <v>64</v>
      </c>
      <c r="K625" t="s">
        <v>28</v>
      </c>
      <c r="L625">
        <v>1</v>
      </c>
      <c r="M625">
        <v>123000</v>
      </c>
      <c r="N625">
        <v>3</v>
      </c>
      <c r="O625">
        <v>119310</v>
      </c>
      <c r="P625">
        <v>10230.700000000001</v>
      </c>
      <c r="Q625" t="s">
        <v>59</v>
      </c>
      <c r="R625" t="s">
        <v>38</v>
      </c>
      <c r="S625" t="s">
        <v>31</v>
      </c>
      <c r="T625" t="s">
        <v>32</v>
      </c>
    </row>
    <row r="626" spans="1:20" x14ac:dyDescent="0.25">
      <c r="A626" t="s">
        <v>20</v>
      </c>
      <c r="B626" t="s">
        <v>1348</v>
      </c>
      <c r="C626" s="1">
        <v>45914</v>
      </c>
      <c r="D626" t="s">
        <v>1349</v>
      </c>
      <c r="E626" t="s">
        <v>35</v>
      </c>
      <c r="F626" t="s">
        <v>24</v>
      </c>
      <c r="G626">
        <v>34</v>
      </c>
      <c r="H626" t="s">
        <v>73</v>
      </c>
      <c r="I626" t="s">
        <v>26</v>
      </c>
      <c r="J626" t="s">
        <v>36</v>
      </c>
      <c r="K626" t="s">
        <v>101</v>
      </c>
      <c r="L626">
        <v>1</v>
      </c>
      <c r="M626">
        <v>115000</v>
      </c>
      <c r="N626">
        <v>0</v>
      </c>
      <c r="O626">
        <v>115000</v>
      </c>
      <c r="P626">
        <v>23152.3</v>
      </c>
      <c r="Q626" t="s">
        <v>74</v>
      </c>
      <c r="R626" t="s">
        <v>60</v>
      </c>
      <c r="S626" t="s">
        <v>47</v>
      </c>
      <c r="T626" t="s">
        <v>32</v>
      </c>
    </row>
    <row r="627" spans="1:20" x14ac:dyDescent="0.25">
      <c r="A627" t="s">
        <v>20</v>
      </c>
      <c r="B627" t="s">
        <v>1350</v>
      </c>
      <c r="C627" s="1">
        <v>45823</v>
      </c>
      <c r="D627" t="s">
        <v>1351</v>
      </c>
      <c r="E627" t="s">
        <v>43</v>
      </c>
      <c r="F627" t="s">
        <v>24</v>
      </c>
      <c r="G627">
        <v>28</v>
      </c>
      <c r="H627" t="s">
        <v>51</v>
      </c>
      <c r="I627" t="s">
        <v>26</v>
      </c>
      <c r="J627" t="s">
        <v>36</v>
      </c>
      <c r="K627" t="s">
        <v>28</v>
      </c>
      <c r="L627">
        <v>1</v>
      </c>
      <c r="M627">
        <v>115000</v>
      </c>
      <c r="N627">
        <v>10</v>
      </c>
      <c r="O627">
        <v>103500</v>
      </c>
      <c r="P627">
        <v>2216.87</v>
      </c>
      <c r="Q627" t="s">
        <v>86</v>
      </c>
      <c r="R627" t="s">
        <v>96</v>
      </c>
      <c r="S627" t="s">
        <v>69</v>
      </c>
      <c r="T627" t="s">
        <v>32</v>
      </c>
    </row>
    <row r="628" spans="1:20" x14ac:dyDescent="0.25">
      <c r="A628" t="s">
        <v>20</v>
      </c>
      <c r="B628" t="s">
        <v>1352</v>
      </c>
      <c r="C628" s="1">
        <v>45690</v>
      </c>
      <c r="D628" t="s">
        <v>1353</v>
      </c>
      <c r="E628" t="s">
        <v>50</v>
      </c>
      <c r="F628" t="s">
        <v>24</v>
      </c>
      <c r="G628">
        <v>30</v>
      </c>
      <c r="H628" t="s">
        <v>25</v>
      </c>
      <c r="I628" t="s">
        <v>26</v>
      </c>
      <c r="J628" t="s">
        <v>213</v>
      </c>
      <c r="K628" t="s">
        <v>101</v>
      </c>
      <c r="L628">
        <v>1</v>
      </c>
      <c r="M628">
        <v>170000</v>
      </c>
      <c r="N628">
        <v>10</v>
      </c>
      <c r="O628">
        <v>153000</v>
      </c>
      <c r="P628">
        <v>13643.24</v>
      </c>
      <c r="Q628" t="s">
        <v>82</v>
      </c>
      <c r="R628" t="s">
        <v>38</v>
      </c>
      <c r="S628" t="s">
        <v>47</v>
      </c>
      <c r="T628" t="s">
        <v>40</v>
      </c>
    </row>
    <row r="629" spans="1:20" x14ac:dyDescent="0.25">
      <c r="A629" t="s">
        <v>20</v>
      </c>
      <c r="B629" t="s">
        <v>1354</v>
      </c>
      <c r="C629" s="1">
        <v>46056</v>
      </c>
      <c r="D629" t="s">
        <v>1355</v>
      </c>
      <c r="E629" t="s">
        <v>23</v>
      </c>
      <c r="F629" t="s">
        <v>55</v>
      </c>
      <c r="G629">
        <v>0</v>
      </c>
      <c r="H629" t="s">
        <v>56</v>
      </c>
      <c r="I629" t="s">
        <v>26</v>
      </c>
      <c r="J629" t="s">
        <v>45</v>
      </c>
      <c r="K629" t="s">
        <v>28</v>
      </c>
      <c r="L629">
        <v>1</v>
      </c>
      <c r="M629">
        <v>98000</v>
      </c>
      <c r="N629">
        <v>7</v>
      </c>
      <c r="O629">
        <v>91140</v>
      </c>
      <c r="P629">
        <v>6162.3</v>
      </c>
      <c r="Q629" t="s">
        <v>37</v>
      </c>
      <c r="R629" t="s">
        <v>96</v>
      </c>
      <c r="S629" t="s">
        <v>39</v>
      </c>
      <c r="T629" t="s">
        <v>32</v>
      </c>
    </row>
    <row r="630" spans="1:20" x14ac:dyDescent="0.25">
      <c r="A630" t="s">
        <v>20</v>
      </c>
      <c r="B630" t="s">
        <v>1356</v>
      </c>
      <c r="C630" s="1">
        <v>45666</v>
      </c>
      <c r="D630" t="s">
        <v>1357</v>
      </c>
      <c r="E630" t="s">
        <v>35</v>
      </c>
      <c r="F630" t="s">
        <v>24</v>
      </c>
      <c r="G630">
        <v>47</v>
      </c>
      <c r="H630" t="s">
        <v>25</v>
      </c>
      <c r="I630" t="s">
        <v>26</v>
      </c>
      <c r="J630" t="s">
        <v>111</v>
      </c>
      <c r="K630" t="s">
        <v>101</v>
      </c>
      <c r="L630">
        <v>1</v>
      </c>
      <c r="M630">
        <v>125000</v>
      </c>
      <c r="N630">
        <v>5</v>
      </c>
      <c r="O630">
        <v>118750</v>
      </c>
      <c r="P630">
        <v>6603.42</v>
      </c>
      <c r="Q630" t="s">
        <v>46</v>
      </c>
      <c r="R630" t="s">
        <v>30</v>
      </c>
      <c r="S630" t="s">
        <v>47</v>
      </c>
      <c r="T630" t="s">
        <v>32</v>
      </c>
    </row>
    <row r="631" spans="1:20" x14ac:dyDescent="0.25">
      <c r="A631" t="s">
        <v>20</v>
      </c>
      <c r="B631" t="s">
        <v>1358</v>
      </c>
      <c r="C631" s="1">
        <v>45775</v>
      </c>
      <c r="D631" t="s">
        <v>1359</v>
      </c>
      <c r="E631" t="s">
        <v>592</v>
      </c>
      <c r="F631" t="s">
        <v>24</v>
      </c>
      <c r="G631">
        <v>36</v>
      </c>
      <c r="H631" t="s">
        <v>73</v>
      </c>
      <c r="I631" t="s">
        <v>26</v>
      </c>
      <c r="J631" t="s">
        <v>81</v>
      </c>
      <c r="K631" t="s">
        <v>68</v>
      </c>
      <c r="L631">
        <v>1</v>
      </c>
      <c r="M631">
        <v>234000</v>
      </c>
      <c r="N631">
        <v>2</v>
      </c>
      <c r="O631">
        <v>229320</v>
      </c>
      <c r="P631">
        <v>38905.620000000003</v>
      </c>
      <c r="Q631" t="s">
        <v>46</v>
      </c>
      <c r="R631" t="s">
        <v>30</v>
      </c>
      <c r="S631" t="s">
        <v>61</v>
      </c>
      <c r="T631" t="s">
        <v>32</v>
      </c>
    </row>
    <row r="632" spans="1:20" x14ac:dyDescent="0.25">
      <c r="A632" t="s">
        <v>20</v>
      </c>
      <c r="B632" t="s">
        <v>1360</v>
      </c>
      <c r="C632" s="1">
        <v>45854</v>
      </c>
      <c r="D632" t="s">
        <v>1361</v>
      </c>
      <c r="E632" t="s">
        <v>94</v>
      </c>
      <c r="F632" t="s">
        <v>55</v>
      </c>
      <c r="G632">
        <v>29</v>
      </c>
      <c r="H632" t="s">
        <v>73</v>
      </c>
      <c r="I632" t="s">
        <v>26</v>
      </c>
      <c r="J632" t="s">
        <v>111</v>
      </c>
      <c r="K632" t="s">
        <v>68</v>
      </c>
      <c r="L632">
        <v>1</v>
      </c>
      <c r="M632">
        <v>124000</v>
      </c>
      <c r="N632">
        <v>5</v>
      </c>
      <c r="O632">
        <v>117800</v>
      </c>
      <c r="P632">
        <v>20509.11</v>
      </c>
      <c r="Q632" t="s">
        <v>82</v>
      </c>
      <c r="R632" t="s">
        <v>30</v>
      </c>
      <c r="S632" t="s">
        <v>47</v>
      </c>
      <c r="T632" t="s">
        <v>40</v>
      </c>
    </row>
    <row r="633" spans="1:20" x14ac:dyDescent="0.25">
      <c r="A633" t="s">
        <v>20</v>
      </c>
      <c r="B633" t="s">
        <v>1362</v>
      </c>
      <c r="C633" s="1">
        <v>46148</v>
      </c>
      <c r="D633" t="s">
        <v>1363</v>
      </c>
      <c r="E633" t="s">
        <v>94</v>
      </c>
      <c r="F633" t="s">
        <v>55</v>
      </c>
      <c r="G633">
        <v>23</v>
      </c>
      <c r="H633" t="s">
        <v>51</v>
      </c>
      <c r="I633" t="s">
        <v>26</v>
      </c>
      <c r="J633" t="s">
        <v>121</v>
      </c>
      <c r="K633" t="s">
        <v>101</v>
      </c>
      <c r="L633">
        <v>1</v>
      </c>
      <c r="M633">
        <v>114000</v>
      </c>
      <c r="N633">
        <v>2</v>
      </c>
      <c r="O633">
        <v>111720</v>
      </c>
      <c r="P633">
        <v>18201.09</v>
      </c>
      <c r="Q633" t="s">
        <v>82</v>
      </c>
      <c r="R633" t="s">
        <v>60</v>
      </c>
      <c r="S633" t="s">
        <v>39</v>
      </c>
      <c r="T633" t="s">
        <v>40</v>
      </c>
    </row>
    <row r="634" spans="1:20" x14ac:dyDescent="0.25">
      <c r="A634" t="s">
        <v>20</v>
      </c>
      <c r="B634" t="s">
        <v>1364</v>
      </c>
      <c r="C634" s="1">
        <v>45711</v>
      </c>
      <c r="D634" t="s">
        <v>1365</v>
      </c>
      <c r="E634" t="s">
        <v>50</v>
      </c>
      <c r="F634" t="s">
        <v>24</v>
      </c>
      <c r="G634">
        <v>40</v>
      </c>
      <c r="H634" t="s">
        <v>95</v>
      </c>
      <c r="I634" t="s">
        <v>26</v>
      </c>
      <c r="J634" t="s">
        <v>64</v>
      </c>
      <c r="K634" t="s">
        <v>58</v>
      </c>
      <c r="L634">
        <v>1</v>
      </c>
      <c r="M634">
        <v>123000</v>
      </c>
      <c r="N634">
        <v>2</v>
      </c>
      <c r="O634">
        <v>120540</v>
      </c>
      <c r="P634">
        <v>23996.48</v>
      </c>
      <c r="Q634" t="s">
        <v>74</v>
      </c>
      <c r="R634" t="s">
        <v>30</v>
      </c>
      <c r="S634" t="s">
        <v>47</v>
      </c>
      <c r="T634" t="s">
        <v>32</v>
      </c>
    </row>
    <row r="635" spans="1:20" x14ac:dyDescent="0.25">
      <c r="A635" t="s">
        <v>20</v>
      </c>
      <c r="B635" t="s">
        <v>1366</v>
      </c>
      <c r="C635" s="1">
        <v>45671</v>
      </c>
      <c r="D635" t="s">
        <v>1367</v>
      </c>
      <c r="E635" t="s">
        <v>129</v>
      </c>
      <c r="F635" t="s">
        <v>24</v>
      </c>
      <c r="G635">
        <v>55</v>
      </c>
      <c r="H635" t="s">
        <v>85</v>
      </c>
      <c r="I635" t="s">
        <v>26</v>
      </c>
      <c r="J635" t="s">
        <v>104</v>
      </c>
      <c r="K635" t="s">
        <v>101</v>
      </c>
      <c r="L635">
        <v>1</v>
      </c>
      <c r="M635">
        <v>170000</v>
      </c>
      <c r="N635">
        <v>0</v>
      </c>
      <c r="O635">
        <v>170000</v>
      </c>
      <c r="P635">
        <v>35423.5</v>
      </c>
      <c r="Q635" t="s">
        <v>86</v>
      </c>
      <c r="R635" t="s">
        <v>60</v>
      </c>
      <c r="S635" t="s">
        <v>31</v>
      </c>
      <c r="T635" t="s">
        <v>40</v>
      </c>
    </row>
    <row r="636" spans="1:20" x14ac:dyDescent="0.25">
      <c r="A636" t="s">
        <v>20</v>
      </c>
      <c r="B636" t="s">
        <v>1368</v>
      </c>
      <c r="C636" s="1">
        <v>46274</v>
      </c>
      <c r="D636" t="s">
        <v>1369</v>
      </c>
      <c r="E636" t="s">
        <v>80</v>
      </c>
      <c r="F636" t="s">
        <v>55</v>
      </c>
      <c r="G636">
        <v>27</v>
      </c>
      <c r="H636" t="s">
        <v>95</v>
      </c>
      <c r="I636" t="s">
        <v>26</v>
      </c>
      <c r="J636" t="s">
        <v>111</v>
      </c>
      <c r="K636" t="s">
        <v>68</v>
      </c>
      <c r="L636">
        <v>0</v>
      </c>
      <c r="M636">
        <v>123000</v>
      </c>
      <c r="N636">
        <v>2</v>
      </c>
      <c r="O636">
        <v>120540</v>
      </c>
      <c r="P636">
        <v>15307.71</v>
      </c>
      <c r="Q636" t="s">
        <v>46</v>
      </c>
      <c r="R636" t="s">
        <v>30</v>
      </c>
      <c r="S636" t="s">
        <v>69</v>
      </c>
      <c r="T636" t="s">
        <v>40</v>
      </c>
    </row>
    <row r="637" spans="1:20" x14ac:dyDescent="0.25">
      <c r="A637" t="s">
        <v>20</v>
      </c>
      <c r="B637" t="s">
        <v>1370</v>
      </c>
      <c r="C637" s="1">
        <v>45702</v>
      </c>
      <c r="D637" t="s">
        <v>1371</v>
      </c>
      <c r="E637" t="s">
        <v>592</v>
      </c>
      <c r="F637" t="s">
        <v>24</v>
      </c>
      <c r="G637">
        <v>28</v>
      </c>
      <c r="H637" t="s">
        <v>85</v>
      </c>
      <c r="I637" t="s">
        <v>26</v>
      </c>
      <c r="J637" t="s">
        <v>104</v>
      </c>
      <c r="K637" t="s">
        <v>101</v>
      </c>
      <c r="L637">
        <v>3</v>
      </c>
      <c r="M637">
        <v>169000</v>
      </c>
      <c r="N637">
        <v>7</v>
      </c>
      <c r="O637">
        <v>471510</v>
      </c>
      <c r="P637">
        <v>32198.39</v>
      </c>
      <c r="Q637" t="s">
        <v>86</v>
      </c>
      <c r="R637" t="s">
        <v>60</v>
      </c>
      <c r="S637" t="s">
        <v>47</v>
      </c>
      <c r="T637" t="s">
        <v>32</v>
      </c>
    </row>
    <row r="638" spans="1:20" x14ac:dyDescent="0.25">
      <c r="A638" t="s">
        <v>20</v>
      </c>
      <c r="B638" t="s">
        <v>1372</v>
      </c>
      <c r="C638" s="1">
        <v>45828</v>
      </c>
      <c r="D638" t="s">
        <v>1373</v>
      </c>
      <c r="E638" t="s">
        <v>129</v>
      </c>
      <c r="F638" t="s">
        <v>24</v>
      </c>
      <c r="G638">
        <v>37</v>
      </c>
      <c r="H638" t="s">
        <v>108</v>
      </c>
      <c r="I638" t="s">
        <v>26</v>
      </c>
      <c r="J638" t="s">
        <v>77</v>
      </c>
      <c r="K638" t="s">
        <v>28</v>
      </c>
      <c r="L638">
        <v>1</v>
      </c>
      <c r="M638">
        <v>196000</v>
      </c>
      <c r="N638">
        <v>7</v>
      </c>
      <c r="O638">
        <v>182280</v>
      </c>
      <c r="P638">
        <v>10798.38</v>
      </c>
      <c r="Q638" t="s">
        <v>105</v>
      </c>
      <c r="R638" t="s">
        <v>96</v>
      </c>
      <c r="S638" t="s">
        <v>61</v>
      </c>
      <c r="T638" t="s">
        <v>40</v>
      </c>
    </row>
    <row r="639" spans="1:20" x14ac:dyDescent="0.25">
      <c r="A639" t="s">
        <v>20</v>
      </c>
      <c r="B639" t="s">
        <v>1374</v>
      </c>
      <c r="C639" s="1">
        <v>46057</v>
      </c>
      <c r="D639" t="s">
        <v>1375</v>
      </c>
      <c r="E639" t="s">
        <v>72</v>
      </c>
      <c r="F639" t="s">
        <v>55</v>
      </c>
      <c r="G639">
        <v>45</v>
      </c>
      <c r="H639" t="s">
        <v>108</v>
      </c>
      <c r="I639" t="s">
        <v>26</v>
      </c>
      <c r="J639" t="s">
        <v>57</v>
      </c>
      <c r="K639" t="s">
        <v>68</v>
      </c>
      <c r="L639">
        <v>1</v>
      </c>
      <c r="M639">
        <v>176000</v>
      </c>
      <c r="N639">
        <v>5</v>
      </c>
      <c r="O639">
        <v>167200</v>
      </c>
      <c r="P639">
        <v>18040.03</v>
      </c>
      <c r="Q639" t="s">
        <v>105</v>
      </c>
      <c r="R639" t="s">
        <v>96</v>
      </c>
      <c r="S639" t="s">
        <v>87</v>
      </c>
      <c r="T639" t="s">
        <v>32</v>
      </c>
    </row>
    <row r="640" spans="1:20" x14ac:dyDescent="0.25">
      <c r="A640" t="s">
        <v>20</v>
      </c>
      <c r="B640" t="s">
        <v>1376</v>
      </c>
      <c r="C640" s="1">
        <v>46195</v>
      </c>
      <c r="D640" t="s">
        <v>1377</v>
      </c>
      <c r="E640" t="s">
        <v>72</v>
      </c>
      <c r="F640" t="s">
        <v>55</v>
      </c>
      <c r="G640">
        <v>36</v>
      </c>
      <c r="H640" t="s">
        <v>25</v>
      </c>
      <c r="I640" t="s">
        <v>26</v>
      </c>
      <c r="J640" t="s">
        <v>81</v>
      </c>
      <c r="K640" t="s">
        <v>101</v>
      </c>
      <c r="L640">
        <v>2</v>
      </c>
      <c r="M640">
        <v>236000</v>
      </c>
      <c r="N640">
        <v>5</v>
      </c>
      <c r="O640">
        <v>448400</v>
      </c>
      <c r="P640">
        <v>51703.76</v>
      </c>
      <c r="Q640" t="s">
        <v>105</v>
      </c>
      <c r="R640" t="s">
        <v>30</v>
      </c>
      <c r="S640" t="s">
        <v>31</v>
      </c>
      <c r="T640" t="s">
        <v>32</v>
      </c>
    </row>
    <row r="641" spans="1:20" x14ac:dyDescent="0.25">
      <c r="A641" t="s">
        <v>20</v>
      </c>
      <c r="B641" t="s">
        <v>1378</v>
      </c>
      <c r="C641" s="1">
        <v>45942</v>
      </c>
      <c r="D641" t="s">
        <v>1379</v>
      </c>
      <c r="E641" t="s">
        <v>72</v>
      </c>
      <c r="F641" t="s">
        <v>55</v>
      </c>
      <c r="G641">
        <v>28</v>
      </c>
      <c r="H641" t="s">
        <v>44</v>
      </c>
      <c r="I641" t="s">
        <v>26</v>
      </c>
      <c r="J641" t="s">
        <v>118</v>
      </c>
      <c r="K641" t="s">
        <v>68</v>
      </c>
      <c r="L641">
        <v>1</v>
      </c>
      <c r="M641">
        <v>87000</v>
      </c>
      <c r="N641">
        <v>2</v>
      </c>
      <c r="O641">
        <v>85260</v>
      </c>
      <c r="P641">
        <v>7565.04</v>
      </c>
      <c r="Q641" t="s">
        <v>52</v>
      </c>
      <c r="R641" t="s">
        <v>30</v>
      </c>
      <c r="S641" t="s">
        <v>69</v>
      </c>
      <c r="T641" t="s">
        <v>40</v>
      </c>
    </row>
    <row r="642" spans="1:20" x14ac:dyDescent="0.25">
      <c r="A642" t="s">
        <v>20</v>
      </c>
      <c r="B642" t="s">
        <v>1380</v>
      </c>
      <c r="C642" s="1">
        <v>45794</v>
      </c>
      <c r="D642" t="s">
        <v>1381</v>
      </c>
      <c r="E642" t="s">
        <v>72</v>
      </c>
      <c r="F642" t="s">
        <v>24</v>
      </c>
      <c r="G642">
        <v>46</v>
      </c>
      <c r="H642" t="s">
        <v>56</v>
      </c>
      <c r="I642" t="s">
        <v>26</v>
      </c>
      <c r="J642" t="s">
        <v>81</v>
      </c>
      <c r="K642" t="s">
        <v>28</v>
      </c>
      <c r="L642">
        <v>1</v>
      </c>
      <c r="M642">
        <v>237000</v>
      </c>
      <c r="N642">
        <v>7</v>
      </c>
      <c r="O642">
        <v>220410</v>
      </c>
      <c r="P642">
        <v>28040.75</v>
      </c>
      <c r="Q642" t="s">
        <v>105</v>
      </c>
      <c r="R642" t="s">
        <v>60</v>
      </c>
      <c r="S642" t="s">
        <v>31</v>
      </c>
      <c r="T642" t="s">
        <v>40</v>
      </c>
    </row>
    <row r="643" spans="1:20" x14ac:dyDescent="0.25">
      <c r="A643" t="s">
        <v>20</v>
      </c>
      <c r="B643" t="s">
        <v>1382</v>
      </c>
      <c r="C643" s="1">
        <v>46255</v>
      </c>
      <c r="D643" t="s">
        <v>1383</v>
      </c>
      <c r="E643" t="s">
        <v>94</v>
      </c>
      <c r="F643" t="s">
        <v>24</v>
      </c>
      <c r="G643">
        <v>26</v>
      </c>
      <c r="H643" t="s">
        <v>51</v>
      </c>
      <c r="I643" t="s">
        <v>26</v>
      </c>
      <c r="J643" t="s">
        <v>45</v>
      </c>
      <c r="K643" t="s">
        <v>68</v>
      </c>
      <c r="L643">
        <v>2</v>
      </c>
      <c r="M643">
        <v>99000</v>
      </c>
      <c r="N643">
        <v>10</v>
      </c>
      <c r="O643">
        <v>178200</v>
      </c>
      <c r="P643">
        <v>504.61</v>
      </c>
      <c r="Q643" t="s">
        <v>46</v>
      </c>
      <c r="R643" t="s">
        <v>96</v>
      </c>
      <c r="S643" t="s">
        <v>39</v>
      </c>
      <c r="T643" t="s">
        <v>40</v>
      </c>
    </row>
    <row r="644" spans="1:20" x14ac:dyDescent="0.25">
      <c r="A644" t="s">
        <v>20</v>
      </c>
      <c r="B644" t="s">
        <v>1384</v>
      </c>
      <c r="C644" s="1">
        <v>46035</v>
      </c>
      <c r="D644" t="s">
        <v>1385</v>
      </c>
      <c r="E644" t="s">
        <v>35</v>
      </c>
      <c r="F644" t="s">
        <v>55</v>
      </c>
      <c r="G644">
        <v>29</v>
      </c>
      <c r="H644" t="s">
        <v>95</v>
      </c>
      <c r="I644" t="s">
        <v>26</v>
      </c>
      <c r="J644" t="s">
        <v>111</v>
      </c>
      <c r="K644" t="s">
        <v>58</v>
      </c>
      <c r="L644">
        <v>1</v>
      </c>
      <c r="M644">
        <v>124000</v>
      </c>
      <c r="N644">
        <v>10</v>
      </c>
      <c r="O644">
        <v>111600</v>
      </c>
      <c r="P644">
        <v>4072.86</v>
      </c>
      <c r="Q644" t="s">
        <v>37</v>
      </c>
      <c r="R644" t="s">
        <v>38</v>
      </c>
      <c r="S644" t="s">
        <v>31</v>
      </c>
      <c r="T644" t="s">
        <v>32</v>
      </c>
    </row>
    <row r="645" spans="1:20" x14ac:dyDescent="0.25">
      <c r="A645" t="s">
        <v>20</v>
      </c>
      <c r="B645" t="s">
        <v>1386</v>
      </c>
      <c r="C645" s="1">
        <v>45975</v>
      </c>
      <c r="D645" t="s">
        <v>1387</v>
      </c>
      <c r="E645" t="s">
        <v>129</v>
      </c>
      <c r="F645" t="s">
        <v>24</v>
      </c>
      <c r="G645">
        <v>30</v>
      </c>
      <c r="H645" t="s">
        <v>85</v>
      </c>
      <c r="I645" t="s">
        <v>26</v>
      </c>
      <c r="J645" t="s">
        <v>111</v>
      </c>
      <c r="K645" t="s">
        <v>68</v>
      </c>
      <c r="L645">
        <v>2</v>
      </c>
      <c r="M645">
        <v>124000</v>
      </c>
      <c r="N645">
        <v>10</v>
      </c>
      <c r="O645">
        <v>223200</v>
      </c>
      <c r="P645">
        <v>21366.36</v>
      </c>
      <c r="Q645" t="s">
        <v>105</v>
      </c>
      <c r="R645" t="s">
        <v>96</v>
      </c>
      <c r="S645" t="s">
        <v>69</v>
      </c>
      <c r="T645" t="s">
        <v>40</v>
      </c>
    </row>
    <row r="646" spans="1:20" x14ac:dyDescent="0.25">
      <c r="A646" t="s">
        <v>20</v>
      </c>
      <c r="B646" t="s">
        <v>1388</v>
      </c>
      <c r="C646" s="1">
        <v>45798</v>
      </c>
      <c r="D646" t="s">
        <v>1389</v>
      </c>
      <c r="E646" t="s">
        <v>23</v>
      </c>
      <c r="F646" t="s">
        <v>24</v>
      </c>
      <c r="G646">
        <v>20</v>
      </c>
      <c r="H646" t="s">
        <v>85</v>
      </c>
      <c r="I646" t="s">
        <v>26</v>
      </c>
      <c r="J646" t="s">
        <v>111</v>
      </c>
      <c r="K646" t="s">
        <v>58</v>
      </c>
      <c r="L646">
        <v>2</v>
      </c>
      <c r="M646">
        <v>125000</v>
      </c>
      <c r="N646">
        <v>0</v>
      </c>
      <c r="O646">
        <v>250000</v>
      </c>
      <c r="P646">
        <v>33270.79</v>
      </c>
      <c r="Q646" t="s">
        <v>105</v>
      </c>
      <c r="R646" t="s">
        <v>126</v>
      </c>
      <c r="S646" t="s">
        <v>69</v>
      </c>
      <c r="T646" t="s">
        <v>32</v>
      </c>
    </row>
    <row r="647" spans="1:20" x14ac:dyDescent="0.25">
      <c r="A647" t="s">
        <v>20</v>
      </c>
      <c r="B647" t="s">
        <v>1390</v>
      </c>
      <c r="C647" s="1">
        <v>46272</v>
      </c>
      <c r="D647" t="s">
        <v>1391</v>
      </c>
      <c r="E647" t="s">
        <v>80</v>
      </c>
      <c r="F647" t="s">
        <v>55</v>
      </c>
      <c r="G647">
        <v>20</v>
      </c>
      <c r="H647" t="s">
        <v>44</v>
      </c>
      <c r="I647" t="s">
        <v>26</v>
      </c>
      <c r="J647" t="s">
        <v>45</v>
      </c>
      <c r="K647" t="s">
        <v>101</v>
      </c>
      <c r="L647">
        <v>1</v>
      </c>
      <c r="M647">
        <v>98000</v>
      </c>
      <c r="N647">
        <v>2</v>
      </c>
      <c r="O647">
        <v>96040</v>
      </c>
      <c r="P647">
        <v>8562.08</v>
      </c>
      <c r="Q647" t="s">
        <v>82</v>
      </c>
      <c r="R647" t="s">
        <v>96</v>
      </c>
      <c r="S647" t="s">
        <v>31</v>
      </c>
      <c r="T647" t="s">
        <v>40</v>
      </c>
    </row>
    <row r="648" spans="1:20" x14ac:dyDescent="0.25">
      <c r="A648" t="s">
        <v>20</v>
      </c>
      <c r="B648" t="s">
        <v>1392</v>
      </c>
      <c r="C648" s="1">
        <v>45907</v>
      </c>
      <c r="D648" t="s">
        <v>1393</v>
      </c>
      <c r="E648" t="s">
        <v>72</v>
      </c>
      <c r="F648" t="s">
        <v>55</v>
      </c>
      <c r="G648">
        <v>23</v>
      </c>
      <c r="H648" t="s">
        <v>85</v>
      </c>
      <c r="I648" t="s">
        <v>26</v>
      </c>
      <c r="J648" t="s">
        <v>81</v>
      </c>
      <c r="K648" t="s">
        <v>28</v>
      </c>
      <c r="L648">
        <v>1</v>
      </c>
      <c r="M648">
        <v>235000</v>
      </c>
      <c r="N648">
        <v>3</v>
      </c>
      <c r="O648">
        <v>227950</v>
      </c>
      <c r="P648">
        <v>31144.78</v>
      </c>
      <c r="Q648" t="s">
        <v>105</v>
      </c>
      <c r="R648" t="s">
        <v>30</v>
      </c>
      <c r="S648" t="s">
        <v>87</v>
      </c>
      <c r="T648" t="s">
        <v>40</v>
      </c>
    </row>
    <row r="649" spans="1:20" x14ac:dyDescent="0.25">
      <c r="A649" t="s">
        <v>20</v>
      </c>
      <c r="B649" t="s">
        <v>1394</v>
      </c>
      <c r="C649" s="1">
        <v>46052</v>
      </c>
      <c r="D649" t="s">
        <v>1395</v>
      </c>
      <c r="E649" t="s">
        <v>43</v>
      </c>
      <c r="F649" t="s">
        <v>24</v>
      </c>
      <c r="G649">
        <v>29</v>
      </c>
      <c r="H649" t="s">
        <v>95</v>
      </c>
      <c r="I649" t="s">
        <v>26</v>
      </c>
      <c r="J649" t="s">
        <v>27</v>
      </c>
      <c r="K649" t="s">
        <v>68</v>
      </c>
      <c r="L649">
        <v>1</v>
      </c>
      <c r="M649">
        <v>94000</v>
      </c>
      <c r="N649">
        <v>0</v>
      </c>
      <c r="O649">
        <v>94000</v>
      </c>
      <c r="P649">
        <v>18123.099999999999</v>
      </c>
      <c r="Q649" t="s">
        <v>59</v>
      </c>
      <c r="R649" t="s">
        <v>30</v>
      </c>
      <c r="S649" t="s">
        <v>47</v>
      </c>
      <c r="T649" t="s">
        <v>32</v>
      </c>
    </row>
    <row r="650" spans="1:20" x14ac:dyDescent="0.25">
      <c r="A650" t="s">
        <v>20</v>
      </c>
      <c r="B650" t="s">
        <v>1396</v>
      </c>
      <c r="C650" s="1">
        <v>45999</v>
      </c>
      <c r="D650" t="s">
        <v>1397</v>
      </c>
      <c r="E650" t="s">
        <v>43</v>
      </c>
      <c r="F650" t="s">
        <v>55</v>
      </c>
      <c r="G650">
        <v>27</v>
      </c>
      <c r="H650" t="s">
        <v>44</v>
      </c>
      <c r="I650" t="s">
        <v>26</v>
      </c>
      <c r="J650" t="s">
        <v>27</v>
      </c>
      <c r="K650" t="s">
        <v>28</v>
      </c>
      <c r="L650">
        <v>1</v>
      </c>
      <c r="M650">
        <v>95000</v>
      </c>
      <c r="N650">
        <v>3</v>
      </c>
      <c r="O650">
        <v>92150</v>
      </c>
      <c r="P650">
        <v>17180.29</v>
      </c>
      <c r="Q650" t="s">
        <v>37</v>
      </c>
      <c r="R650" t="s">
        <v>96</v>
      </c>
      <c r="S650" t="s">
        <v>47</v>
      </c>
      <c r="T650" t="s">
        <v>40</v>
      </c>
    </row>
    <row r="651" spans="1:20" x14ac:dyDescent="0.25">
      <c r="A651" t="s">
        <v>20</v>
      </c>
      <c r="B651" t="s">
        <v>1398</v>
      </c>
      <c r="C651" s="1">
        <v>45951</v>
      </c>
      <c r="D651" t="s">
        <v>1399</v>
      </c>
      <c r="E651" t="s">
        <v>23</v>
      </c>
      <c r="F651" t="s">
        <v>24</v>
      </c>
      <c r="G651">
        <v>42</v>
      </c>
      <c r="H651" t="s">
        <v>73</v>
      </c>
      <c r="I651" t="s">
        <v>26</v>
      </c>
      <c r="J651" t="s">
        <v>81</v>
      </c>
      <c r="K651" t="s">
        <v>58</v>
      </c>
      <c r="L651">
        <v>1</v>
      </c>
      <c r="M651">
        <v>234000</v>
      </c>
      <c r="N651">
        <v>10</v>
      </c>
      <c r="O651">
        <v>210600</v>
      </c>
      <c r="P651">
        <v>8784.5300000000007</v>
      </c>
      <c r="Q651" t="s">
        <v>86</v>
      </c>
      <c r="R651" t="s">
        <v>60</v>
      </c>
      <c r="S651" t="s">
        <v>61</v>
      </c>
      <c r="T651" t="s">
        <v>32</v>
      </c>
    </row>
    <row r="652" spans="1:20" x14ac:dyDescent="0.25">
      <c r="A652" t="s">
        <v>20</v>
      </c>
      <c r="B652" t="s">
        <v>1400</v>
      </c>
      <c r="C652" s="1">
        <v>46115</v>
      </c>
      <c r="D652" t="s">
        <v>1401</v>
      </c>
      <c r="E652" t="s">
        <v>23</v>
      </c>
      <c r="F652" t="s">
        <v>55</v>
      </c>
      <c r="G652">
        <v>50</v>
      </c>
      <c r="H652" t="s">
        <v>73</v>
      </c>
      <c r="I652" t="s">
        <v>26</v>
      </c>
      <c r="J652" t="s">
        <v>118</v>
      </c>
      <c r="K652" t="s">
        <v>58</v>
      </c>
      <c r="L652">
        <v>1</v>
      </c>
      <c r="M652">
        <v>84000</v>
      </c>
      <c r="N652">
        <v>3</v>
      </c>
      <c r="O652">
        <v>81480</v>
      </c>
      <c r="P652">
        <v>14470.38</v>
      </c>
      <c r="Q652" t="s">
        <v>74</v>
      </c>
      <c r="R652" t="s">
        <v>96</v>
      </c>
      <c r="S652" t="s">
        <v>69</v>
      </c>
      <c r="T652" t="s">
        <v>40</v>
      </c>
    </row>
    <row r="653" spans="1:20" x14ac:dyDescent="0.25">
      <c r="A653" t="s">
        <v>20</v>
      </c>
      <c r="B653" t="s">
        <v>1402</v>
      </c>
      <c r="C653" s="1">
        <v>46150</v>
      </c>
      <c r="D653" t="s">
        <v>1403</v>
      </c>
      <c r="E653" t="s">
        <v>43</v>
      </c>
      <c r="F653" t="s">
        <v>55</v>
      </c>
      <c r="G653">
        <v>46</v>
      </c>
      <c r="H653" t="s">
        <v>73</v>
      </c>
      <c r="I653" t="s">
        <v>26</v>
      </c>
      <c r="J653" t="s">
        <v>121</v>
      </c>
      <c r="K653" t="s">
        <v>68</v>
      </c>
      <c r="L653">
        <v>1</v>
      </c>
      <c r="M653">
        <v>98000</v>
      </c>
      <c r="N653">
        <v>3</v>
      </c>
      <c r="O653">
        <v>95060</v>
      </c>
      <c r="P653">
        <v>12808.13</v>
      </c>
      <c r="Q653" t="s">
        <v>59</v>
      </c>
      <c r="R653" t="s">
        <v>38</v>
      </c>
      <c r="S653" t="s">
        <v>87</v>
      </c>
      <c r="T653" t="s">
        <v>40</v>
      </c>
    </row>
    <row r="654" spans="1:20" x14ac:dyDescent="0.25">
      <c r="A654" t="s">
        <v>20</v>
      </c>
      <c r="B654" t="s">
        <v>1404</v>
      </c>
      <c r="C654" s="1">
        <v>46089</v>
      </c>
      <c r="D654" t="s">
        <v>1405</v>
      </c>
      <c r="E654" t="s">
        <v>50</v>
      </c>
      <c r="F654" t="s">
        <v>55</v>
      </c>
      <c r="G654">
        <v>53</v>
      </c>
      <c r="H654" t="s">
        <v>85</v>
      </c>
      <c r="I654" t="s">
        <v>26</v>
      </c>
      <c r="J654" t="s">
        <v>36</v>
      </c>
      <c r="K654" t="s">
        <v>68</v>
      </c>
      <c r="L654">
        <v>1</v>
      </c>
      <c r="M654">
        <v>114000</v>
      </c>
      <c r="N654">
        <v>5</v>
      </c>
      <c r="O654">
        <v>108300</v>
      </c>
      <c r="P654">
        <v>18236.11</v>
      </c>
      <c r="Q654" t="s">
        <v>86</v>
      </c>
      <c r="R654" t="s">
        <v>30</v>
      </c>
      <c r="S654" t="s">
        <v>31</v>
      </c>
      <c r="T654" t="s">
        <v>32</v>
      </c>
    </row>
    <row r="655" spans="1:20" x14ac:dyDescent="0.25">
      <c r="A655" t="s">
        <v>20</v>
      </c>
      <c r="B655" t="s">
        <v>1406</v>
      </c>
      <c r="C655" s="1">
        <v>46027</v>
      </c>
      <c r="D655" t="s">
        <v>1407</v>
      </c>
      <c r="E655" t="s">
        <v>72</v>
      </c>
      <c r="F655" t="s">
        <v>24</v>
      </c>
      <c r="G655">
        <v>28</v>
      </c>
      <c r="H655" t="s">
        <v>85</v>
      </c>
      <c r="I655" t="s">
        <v>26</v>
      </c>
      <c r="J655" t="s">
        <v>64</v>
      </c>
      <c r="K655" t="s">
        <v>68</v>
      </c>
      <c r="L655">
        <v>2</v>
      </c>
      <c r="M655">
        <v>123000</v>
      </c>
      <c r="N655">
        <v>0</v>
      </c>
      <c r="O655">
        <v>246000</v>
      </c>
      <c r="P655">
        <v>27216.6</v>
      </c>
      <c r="Q655" t="s">
        <v>59</v>
      </c>
      <c r="R655" t="s">
        <v>96</v>
      </c>
      <c r="S655" t="s">
        <v>31</v>
      </c>
      <c r="T655" t="s">
        <v>32</v>
      </c>
    </row>
    <row r="656" spans="1:20" x14ac:dyDescent="0.25">
      <c r="A656" t="s">
        <v>20</v>
      </c>
      <c r="B656" t="s">
        <v>1408</v>
      </c>
      <c r="C656" s="1">
        <v>45684</v>
      </c>
      <c r="D656" t="s">
        <v>1409</v>
      </c>
      <c r="E656" t="s">
        <v>43</v>
      </c>
      <c r="F656" t="s">
        <v>55</v>
      </c>
      <c r="G656">
        <v>47</v>
      </c>
      <c r="H656" t="s">
        <v>73</v>
      </c>
      <c r="I656" t="s">
        <v>26</v>
      </c>
      <c r="J656" t="s">
        <v>118</v>
      </c>
      <c r="K656" t="s">
        <v>28</v>
      </c>
      <c r="L656">
        <v>1</v>
      </c>
      <c r="M656">
        <v>87000</v>
      </c>
      <c r="N656">
        <v>10</v>
      </c>
      <c r="O656">
        <v>78300</v>
      </c>
      <c r="P656">
        <v>8946.2800000000007</v>
      </c>
      <c r="Q656" t="s">
        <v>82</v>
      </c>
      <c r="R656" t="s">
        <v>38</v>
      </c>
      <c r="S656" t="s">
        <v>87</v>
      </c>
      <c r="T656" t="s">
        <v>32</v>
      </c>
    </row>
    <row r="657" spans="1:20" x14ac:dyDescent="0.25">
      <c r="A657" t="s">
        <v>20</v>
      </c>
      <c r="B657" t="s">
        <v>1410</v>
      </c>
      <c r="C657" s="1">
        <v>46240</v>
      </c>
      <c r="D657" t="s">
        <v>1411</v>
      </c>
      <c r="E657" t="s">
        <v>129</v>
      </c>
      <c r="F657" t="s">
        <v>55</v>
      </c>
      <c r="G657">
        <v>46</v>
      </c>
      <c r="H657" t="s">
        <v>73</v>
      </c>
      <c r="I657" t="s">
        <v>26</v>
      </c>
      <c r="J657" t="s">
        <v>118</v>
      </c>
      <c r="K657" t="s">
        <v>58</v>
      </c>
      <c r="L657">
        <v>1</v>
      </c>
      <c r="M657">
        <v>83000</v>
      </c>
      <c r="N657">
        <v>2</v>
      </c>
      <c r="O657">
        <v>81340</v>
      </c>
      <c r="P657">
        <v>15832.43</v>
      </c>
      <c r="Q657" t="s">
        <v>105</v>
      </c>
      <c r="R657" t="s">
        <v>60</v>
      </c>
      <c r="S657" t="s">
        <v>47</v>
      </c>
      <c r="T657" t="s">
        <v>40</v>
      </c>
    </row>
    <row r="658" spans="1:20" x14ac:dyDescent="0.25">
      <c r="A658" t="s">
        <v>20</v>
      </c>
      <c r="B658" t="s">
        <v>1412</v>
      </c>
      <c r="C658" s="1">
        <v>45817</v>
      </c>
      <c r="D658" t="s">
        <v>1413</v>
      </c>
      <c r="E658" t="s">
        <v>80</v>
      </c>
      <c r="F658" t="s">
        <v>55</v>
      </c>
      <c r="G658">
        <v>23</v>
      </c>
      <c r="H658" t="s">
        <v>85</v>
      </c>
      <c r="I658" t="s">
        <v>26</v>
      </c>
      <c r="J658" t="s">
        <v>64</v>
      </c>
      <c r="K658" t="s">
        <v>68</v>
      </c>
      <c r="L658">
        <v>1</v>
      </c>
      <c r="M658">
        <v>127000</v>
      </c>
      <c r="N658">
        <v>0</v>
      </c>
      <c r="O658">
        <v>127000</v>
      </c>
      <c r="P658">
        <v>23569.64</v>
      </c>
      <c r="Q658" t="s">
        <v>105</v>
      </c>
      <c r="R658" t="s">
        <v>38</v>
      </c>
      <c r="S658" t="s">
        <v>47</v>
      </c>
      <c r="T658" t="s">
        <v>40</v>
      </c>
    </row>
    <row r="659" spans="1:20" x14ac:dyDescent="0.25">
      <c r="A659" t="s">
        <v>20</v>
      </c>
      <c r="B659" t="s">
        <v>1414</v>
      </c>
      <c r="C659" s="1">
        <v>46091</v>
      </c>
      <c r="D659" t="s">
        <v>1415</v>
      </c>
      <c r="E659" t="s">
        <v>72</v>
      </c>
      <c r="F659" t="s">
        <v>55</v>
      </c>
      <c r="G659">
        <v>30</v>
      </c>
      <c r="H659" t="s">
        <v>51</v>
      </c>
      <c r="I659" t="s">
        <v>26</v>
      </c>
      <c r="J659" t="s">
        <v>36</v>
      </c>
      <c r="K659" t="s">
        <v>58</v>
      </c>
      <c r="L659">
        <v>2</v>
      </c>
      <c r="M659">
        <v>116000</v>
      </c>
      <c r="N659">
        <v>3</v>
      </c>
      <c r="O659">
        <v>225040</v>
      </c>
      <c r="P659">
        <v>24331.62</v>
      </c>
      <c r="Q659" t="s">
        <v>37</v>
      </c>
      <c r="R659" t="s">
        <v>96</v>
      </c>
      <c r="S659" t="s">
        <v>47</v>
      </c>
      <c r="T659" t="s">
        <v>32</v>
      </c>
    </row>
    <row r="660" spans="1:20" x14ac:dyDescent="0.25">
      <c r="A660" t="s">
        <v>20</v>
      </c>
      <c r="B660" t="s">
        <v>1416</v>
      </c>
      <c r="C660" s="1">
        <v>45737</v>
      </c>
      <c r="D660" t="s">
        <v>1417</v>
      </c>
      <c r="E660" t="s">
        <v>35</v>
      </c>
      <c r="F660" t="s">
        <v>24</v>
      </c>
      <c r="G660">
        <v>49</v>
      </c>
      <c r="H660" t="s">
        <v>95</v>
      </c>
      <c r="I660" t="s">
        <v>26</v>
      </c>
      <c r="J660" t="s">
        <v>111</v>
      </c>
      <c r="K660" t="s">
        <v>58</v>
      </c>
      <c r="L660">
        <v>1</v>
      </c>
      <c r="M660">
        <v>127000</v>
      </c>
      <c r="N660">
        <v>7</v>
      </c>
      <c r="O660">
        <v>118110</v>
      </c>
      <c r="P660">
        <v>9828.5300000000007</v>
      </c>
      <c r="Q660" t="s">
        <v>59</v>
      </c>
      <c r="R660" t="s">
        <v>96</v>
      </c>
      <c r="S660" t="s">
        <v>69</v>
      </c>
      <c r="T660" t="s">
        <v>40</v>
      </c>
    </row>
    <row r="661" spans="1:20" x14ac:dyDescent="0.25">
      <c r="A661" t="s">
        <v>20</v>
      </c>
      <c r="B661" t="s">
        <v>1418</v>
      </c>
      <c r="C661" s="1">
        <v>46001</v>
      </c>
      <c r="D661" t="s">
        <v>1419</v>
      </c>
      <c r="E661" t="s">
        <v>50</v>
      </c>
      <c r="F661" t="s">
        <v>24</v>
      </c>
      <c r="G661">
        <v>21</v>
      </c>
      <c r="H661" t="s">
        <v>44</v>
      </c>
      <c r="I661" t="s">
        <v>26</v>
      </c>
      <c r="J661" t="s">
        <v>77</v>
      </c>
      <c r="K661" t="s">
        <v>68</v>
      </c>
      <c r="L661">
        <v>1</v>
      </c>
      <c r="M661">
        <v>193000</v>
      </c>
      <c r="N661">
        <v>0</v>
      </c>
      <c r="O661">
        <v>193000</v>
      </c>
      <c r="P661">
        <v>34059.83</v>
      </c>
      <c r="Q661" t="s">
        <v>82</v>
      </c>
      <c r="R661" t="s">
        <v>30</v>
      </c>
      <c r="S661" t="s">
        <v>31</v>
      </c>
      <c r="T661" t="s">
        <v>32</v>
      </c>
    </row>
    <row r="662" spans="1:20" x14ac:dyDescent="0.25">
      <c r="A662" t="s">
        <v>20</v>
      </c>
      <c r="B662" t="s">
        <v>1420</v>
      </c>
      <c r="C662" s="1">
        <v>45745</v>
      </c>
      <c r="D662" t="s">
        <v>1421</v>
      </c>
      <c r="E662" t="s">
        <v>35</v>
      </c>
      <c r="F662" t="s">
        <v>55</v>
      </c>
      <c r="G662">
        <v>22</v>
      </c>
      <c r="H662" t="s">
        <v>44</v>
      </c>
      <c r="I662" t="s">
        <v>26</v>
      </c>
      <c r="J662" t="s">
        <v>104</v>
      </c>
      <c r="K662" t="s">
        <v>28</v>
      </c>
      <c r="L662">
        <v>0</v>
      </c>
      <c r="M662">
        <v>172000</v>
      </c>
      <c r="N662">
        <v>0</v>
      </c>
      <c r="O662">
        <v>172000</v>
      </c>
      <c r="P662">
        <v>32879.480000000003</v>
      </c>
      <c r="Q662" t="s">
        <v>226</v>
      </c>
      <c r="R662" t="s">
        <v>30</v>
      </c>
      <c r="S662" t="s">
        <v>39</v>
      </c>
      <c r="T662" t="s">
        <v>32</v>
      </c>
    </row>
    <row r="663" spans="1:20" x14ac:dyDescent="0.25">
      <c r="A663" t="s">
        <v>20</v>
      </c>
      <c r="B663" t="s">
        <v>1422</v>
      </c>
      <c r="C663" s="1">
        <v>46058</v>
      </c>
      <c r="D663" t="s">
        <v>1423</v>
      </c>
      <c r="E663" t="s">
        <v>129</v>
      </c>
      <c r="F663" t="s">
        <v>55</v>
      </c>
      <c r="G663">
        <v>42</v>
      </c>
      <c r="H663" t="s">
        <v>51</v>
      </c>
      <c r="I663" t="s">
        <v>26</v>
      </c>
      <c r="J663" t="s">
        <v>64</v>
      </c>
      <c r="K663" t="s">
        <v>101</v>
      </c>
      <c r="L663">
        <v>2</v>
      </c>
      <c r="M663">
        <v>126000</v>
      </c>
      <c r="N663">
        <v>2</v>
      </c>
      <c r="O663">
        <v>246960</v>
      </c>
      <c r="P663">
        <v>40890.35</v>
      </c>
      <c r="Q663" t="s">
        <v>59</v>
      </c>
      <c r="R663" t="s">
        <v>30</v>
      </c>
      <c r="S663" t="s">
        <v>87</v>
      </c>
      <c r="T663" t="s">
        <v>32</v>
      </c>
    </row>
    <row r="664" spans="1:20" x14ac:dyDescent="0.25">
      <c r="A664" t="s">
        <v>20</v>
      </c>
      <c r="B664" t="s">
        <v>1424</v>
      </c>
      <c r="C664" s="1">
        <v>46132</v>
      </c>
      <c r="D664" t="s">
        <v>1425</v>
      </c>
      <c r="E664" t="s">
        <v>23</v>
      </c>
      <c r="F664" t="s">
        <v>55</v>
      </c>
      <c r="G664">
        <v>25</v>
      </c>
      <c r="H664" t="s">
        <v>95</v>
      </c>
      <c r="I664" t="s">
        <v>26</v>
      </c>
      <c r="J664" t="s">
        <v>118</v>
      </c>
      <c r="K664" t="s">
        <v>68</v>
      </c>
      <c r="L664">
        <v>1</v>
      </c>
      <c r="M664">
        <v>83000</v>
      </c>
      <c r="N664">
        <v>3</v>
      </c>
      <c r="O664">
        <v>80510</v>
      </c>
      <c r="P664">
        <v>14164.22</v>
      </c>
      <c r="Q664" t="s">
        <v>37</v>
      </c>
      <c r="R664" t="s">
        <v>96</v>
      </c>
      <c r="S664" t="s">
        <v>87</v>
      </c>
      <c r="T664" t="s">
        <v>40</v>
      </c>
    </row>
    <row r="665" spans="1:20" x14ac:dyDescent="0.25">
      <c r="A665" t="s">
        <v>20</v>
      </c>
      <c r="B665" t="s">
        <v>1426</v>
      </c>
      <c r="C665" s="1">
        <v>46099</v>
      </c>
      <c r="D665" t="s">
        <v>1427</v>
      </c>
      <c r="E665" t="s">
        <v>94</v>
      </c>
      <c r="F665" t="s">
        <v>55</v>
      </c>
      <c r="G665">
        <v>22</v>
      </c>
      <c r="H665" t="s">
        <v>73</v>
      </c>
      <c r="I665" t="s">
        <v>26</v>
      </c>
      <c r="J665" t="s">
        <v>57</v>
      </c>
      <c r="K665" t="s">
        <v>68</v>
      </c>
      <c r="L665">
        <v>1</v>
      </c>
      <c r="M665">
        <v>175000</v>
      </c>
      <c r="N665">
        <v>7</v>
      </c>
      <c r="O665">
        <v>162750</v>
      </c>
      <c r="P665">
        <v>8275</v>
      </c>
      <c r="Q665" t="s">
        <v>82</v>
      </c>
      <c r="R665" t="s">
        <v>96</v>
      </c>
      <c r="S665" t="s">
        <v>87</v>
      </c>
      <c r="T665" t="s">
        <v>40</v>
      </c>
    </row>
    <row r="666" spans="1:20" x14ac:dyDescent="0.25">
      <c r="A666" t="s">
        <v>20</v>
      </c>
      <c r="B666" t="s">
        <v>1428</v>
      </c>
      <c r="C666" s="1">
        <v>45747</v>
      </c>
      <c r="D666" t="s">
        <v>1429</v>
      </c>
      <c r="E666" t="s">
        <v>23</v>
      </c>
      <c r="F666" t="s">
        <v>24</v>
      </c>
      <c r="G666">
        <v>51</v>
      </c>
      <c r="H666" t="s">
        <v>25</v>
      </c>
      <c r="I666" t="s">
        <v>26</v>
      </c>
      <c r="J666" t="s">
        <v>27</v>
      </c>
      <c r="K666" t="s">
        <v>101</v>
      </c>
      <c r="L666">
        <v>1</v>
      </c>
      <c r="M666">
        <v>95000</v>
      </c>
      <c r="N666">
        <v>7</v>
      </c>
      <c r="O666">
        <v>88350</v>
      </c>
      <c r="P666">
        <v>4360.12</v>
      </c>
      <c r="Q666" t="s">
        <v>37</v>
      </c>
      <c r="R666" t="s">
        <v>60</v>
      </c>
      <c r="S666" t="s">
        <v>31</v>
      </c>
      <c r="T666" t="s">
        <v>32</v>
      </c>
    </row>
    <row r="667" spans="1:20" x14ac:dyDescent="0.25">
      <c r="A667" t="s">
        <v>20</v>
      </c>
      <c r="B667" t="s">
        <v>1430</v>
      </c>
      <c r="C667" s="1">
        <v>46129</v>
      </c>
      <c r="D667" t="s">
        <v>1431</v>
      </c>
      <c r="E667" t="s">
        <v>35</v>
      </c>
      <c r="F667" t="s">
        <v>24</v>
      </c>
      <c r="G667">
        <v>36</v>
      </c>
      <c r="H667" t="s">
        <v>1432</v>
      </c>
      <c r="I667" t="s">
        <v>26</v>
      </c>
      <c r="J667" t="s">
        <v>104</v>
      </c>
      <c r="K667" t="s">
        <v>58</v>
      </c>
      <c r="L667">
        <v>1</v>
      </c>
      <c r="M667">
        <v>168000</v>
      </c>
      <c r="N667">
        <v>2</v>
      </c>
      <c r="O667">
        <v>164640</v>
      </c>
      <c r="P667">
        <v>19273.189999999999</v>
      </c>
      <c r="Q667" t="s">
        <v>37</v>
      </c>
      <c r="R667" t="s">
        <v>30</v>
      </c>
      <c r="S667" t="s">
        <v>87</v>
      </c>
      <c r="T667" t="s">
        <v>40</v>
      </c>
    </row>
    <row r="668" spans="1:20" x14ac:dyDescent="0.25">
      <c r="A668" t="s">
        <v>20</v>
      </c>
      <c r="B668" t="s">
        <v>1433</v>
      </c>
      <c r="C668" s="1">
        <v>45790</v>
      </c>
      <c r="D668" t="s">
        <v>1434</v>
      </c>
      <c r="E668" t="s">
        <v>43</v>
      </c>
      <c r="F668" t="s">
        <v>24</v>
      </c>
      <c r="G668">
        <v>48</v>
      </c>
      <c r="H668" t="s">
        <v>56</v>
      </c>
      <c r="I668" t="s">
        <v>26</v>
      </c>
      <c r="J668" t="s">
        <v>118</v>
      </c>
      <c r="K668" t="s">
        <v>101</v>
      </c>
      <c r="L668">
        <v>0</v>
      </c>
      <c r="M668">
        <v>85000</v>
      </c>
      <c r="N668">
        <v>5</v>
      </c>
      <c r="O668">
        <v>161500</v>
      </c>
      <c r="P668">
        <v>11417.18</v>
      </c>
      <c r="Q668" t="s">
        <v>82</v>
      </c>
      <c r="R668" t="s">
        <v>38</v>
      </c>
      <c r="S668" t="s">
        <v>87</v>
      </c>
      <c r="T668" t="s">
        <v>40</v>
      </c>
    </row>
    <row r="669" spans="1:20" x14ac:dyDescent="0.25">
      <c r="A669" t="s">
        <v>20</v>
      </c>
      <c r="B669" t="s">
        <v>1435</v>
      </c>
      <c r="C669" s="1">
        <v>45908</v>
      </c>
      <c r="D669" t="s">
        <v>1436</v>
      </c>
      <c r="E669" t="s">
        <v>80</v>
      </c>
      <c r="F669" t="s">
        <v>55</v>
      </c>
      <c r="G669">
        <v>55</v>
      </c>
      <c r="H669" t="s">
        <v>25</v>
      </c>
      <c r="I669" t="s">
        <v>26</v>
      </c>
      <c r="J669" t="s">
        <v>104</v>
      </c>
      <c r="K669" t="s">
        <v>28</v>
      </c>
      <c r="L669">
        <v>1</v>
      </c>
      <c r="M669">
        <v>172000</v>
      </c>
      <c r="N669">
        <v>0</v>
      </c>
      <c r="O669">
        <v>172000</v>
      </c>
      <c r="P669">
        <v>22544.880000000001</v>
      </c>
      <c r="Q669" t="s">
        <v>74</v>
      </c>
      <c r="R669" t="s">
        <v>38</v>
      </c>
      <c r="S669" t="s">
        <v>31</v>
      </c>
      <c r="T669" t="s">
        <v>40</v>
      </c>
    </row>
    <row r="670" spans="1:20" x14ac:dyDescent="0.25">
      <c r="A670" t="s">
        <v>20</v>
      </c>
      <c r="B670" t="s">
        <v>1437</v>
      </c>
      <c r="C670" s="1">
        <v>46135</v>
      </c>
      <c r="D670" t="s">
        <v>1438</v>
      </c>
      <c r="E670" t="s">
        <v>35</v>
      </c>
      <c r="F670" t="s">
        <v>55</v>
      </c>
      <c r="G670">
        <v>49</v>
      </c>
      <c r="H670" t="s">
        <v>44</v>
      </c>
      <c r="I670" t="s">
        <v>26</v>
      </c>
      <c r="J670" t="s">
        <v>27</v>
      </c>
      <c r="K670" t="s">
        <v>28</v>
      </c>
      <c r="L670">
        <v>1</v>
      </c>
      <c r="M670">
        <v>95000</v>
      </c>
      <c r="N670">
        <v>10</v>
      </c>
      <c r="O670">
        <v>85500</v>
      </c>
      <c r="P670">
        <v>10334.06</v>
      </c>
      <c r="Q670" t="s">
        <v>37</v>
      </c>
      <c r="R670" t="s">
        <v>30</v>
      </c>
      <c r="S670" t="s">
        <v>47</v>
      </c>
      <c r="T670" t="s">
        <v>40</v>
      </c>
    </row>
    <row r="671" spans="1:20" x14ac:dyDescent="0.25">
      <c r="A671" t="s">
        <v>20</v>
      </c>
      <c r="B671" t="s">
        <v>1439</v>
      </c>
      <c r="C671" s="1">
        <v>46155</v>
      </c>
      <c r="D671" t="s">
        <v>1440</v>
      </c>
      <c r="E671" t="s">
        <v>35</v>
      </c>
      <c r="F671" t="s">
        <v>55</v>
      </c>
      <c r="G671">
        <v>33</v>
      </c>
      <c r="H671" t="s">
        <v>95</v>
      </c>
      <c r="I671" t="s">
        <v>26</v>
      </c>
      <c r="J671" t="s">
        <v>111</v>
      </c>
      <c r="K671" t="s">
        <v>101</v>
      </c>
      <c r="L671">
        <v>1</v>
      </c>
      <c r="M671">
        <v>125000</v>
      </c>
      <c r="N671">
        <v>3</v>
      </c>
      <c r="O671">
        <v>121250</v>
      </c>
      <c r="P671">
        <v>8803.43</v>
      </c>
      <c r="Q671" t="s">
        <v>46</v>
      </c>
      <c r="R671" t="s">
        <v>30</v>
      </c>
      <c r="S671" t="s">
        <v>87</v>
      </c>
      <c r="T671" t="s">
        <v>32</v>
      </c>
    </row>
    <row r="672" spans="1:20" x14ac:dyDescent="0.25">
      <c r="A672" t="s">
        <v>20</v>
      </c>
      <c r="B672" t="s">
        <v>1441</v>
      </c>
      <c r="C672" s="1">
        <v>46273</v>
      </c>
      <c r="D672" t="s">
        <v>1442</v>
      </c>
      <c r="E672" t="s">
        <v>80</v>
      </c>
      <c r="F672" t="s">
        <v>24</v>
      </c>
      <c r="G672">
        <v>44</v>
      </c>
      <c r="H672" t="s">
        <v>73</v>
      </c>
      <c r="I672" t="s">
        <v>26</v>
      </c>
      <c r="J672" t="s">
        <v>57</v>
      </c>
      <c r="K672" t="s">
        <v>58</v>
      </c>
      <c r="L672">
        <v>1</v>
      </c>
      <c r="M672">
        <v>175000</v>
      </c>
      <c r="N672">
        <v>7</v>
      </c>
      <c r="O672">
        <v>162750</v>
      </c>
      <c r="P672">
        <v>25592.21</v>
      </c>
      <c r="Q672" t="s">
        <v>46</v>
      </c>
      <c r="R672" t="s">
        <v>96</v>
      </c>
      <c r="S672" t="s">
        <v>69</v>
      </c>
      <c r="T672" t="s">
        <v>32</v>
      </c>
    </row>
    <row r="673" spans="1:20" x14ac:dyDescent="0.25">
      <c r="A673" t="s">
        <v>20</v>
      </c>
      <c r="B673" t="s">
        <v>1443</v>
      </c>
      <c r="C673" s="1">
        <v>45728</v>
      </c>
      <c r="D673" t="s">
        <v>1444</v>
      </c>
      <c r="E673" t="s">
        <v>94</v>
      </c>
      <c r="F673" t="s">
        <v>55</v>
      </c>
      <c r="G673">
        <v>37</v>
      </c>
      <c r="H673" t="s">
        <v>95</v>
      </c>
      <c r="I673" t="s">
        <v>26</v>
      </c>
      <c r="J673" t="s">
        <v>118</v>
      </c>
      <c r="K673" t="s">
        <v>101</v>
      </c>
      <c r="L673">
        <v>1</v>
      </c>
      <c r="M673">
        <v>87000</v>
      </c>
      <c r="N673">
        <v>2</v>
      </c>
      <c r="O673">
        <v>85260</v>
      </c>
      <c r="P673">
        <v>16527.310000000001</v>
      </c>
      <c r="Q673" t="s">
        <v>46</v>
      </c>
      <c r="R673" t="s">
        <v>38</v>
      </c>
      <c r="S673" t="s">
        <v>87</v>
      </c>
      <c r="T673" t="s">
        <v>32</v>
      </c>
    </row>
    <row r="674" spans="1:20" x14ac:dyDescent="0.25">
      <c r="A674" t="s">
        <v>20</v>
      </c>
      <c r="B674" t="s">
        <v>1445</v>
      </c>
      <c r="C674" s="1">
        <v>45962</v>
      </c>
      <c r="D674" t="s">
        <v>1446</v>
      </c>
      <c r="E674" t="s">
        <v>50</v>
      </c>
      <c r="F674" t="s">
        <v>24</v>
      </c>
      <c r="G674">
        <v>30</v>
      </c>
      <c r="H674" t="s">
        <v>73</v>
      </c>
      <c r="I674" t="s">
        <v>26</v>
      </c>
      <c r="J674" t="s">
        <v>104</v>
      </c>
      <c r="K674" t="s">
        <v>58</v>
      </c>
      <c r="L674">
        <v>0</v>
      </c>
      <c r="M674">
        <v>168000</v>
      </c>
      <c r="N674">
        <v>5</v>
      </c>
      <c r="O674">
        <v>159600</v>
      </c>
      <c r="P674">
        <v>21664.89</v>
      </c>
      <c r="Q674" t="s">
        <v>46</v>
      </c>
      <c r="R674" t="s">
        <v>38</v>
      </c>
      <c r="S674" t="s">
        <v>87</v>
      </c>
      <c r="T674" t="s">
        <v>32</v>
      </c>
    </row>
    <row r="675" spans="1:20" x14ac:dyDescent="0.25">
      <c r="A675" t="s">
        <v>20</v>
      </c>
      <c r="B675" t="s">
        <v>1447</v>
      </c>
      <c r="C675" s="1">
        <v>46232</v>
      </c>
      <c r="D675" t="s">
        <v>1448</v>
      </c>
      <c r="E675" t="s">
        <v>23</v>
      </c>
      <c r="F675" t="s">
        <v>55</v>
      </c>
      <c r="G675">
        <v>0</v>
      </c>
      <c r="H675" t="s">
        <v>56</v>
      </c>
      <c r="I675" t="s">
        <v>26</v>
      </c>
      <c r="J675" t="s">
        <v>121</v>
      </c>
      <c r="K675" t="s">
        <v>101</v>
      </c>
      <c r="L675">
        <v>2</v>
      </c>
      <c r="M675">
        <v>196000</v>
      </c>
      <c r="N675">
        <v>5</v>
      </c>
      <c r="O675">
        <v>372400</v>
      </c>
      <c r="P675">
        <v>27925.34</v>
      </c>
      <c r="Q675" t="s">
        <v>86</v>
      </c>
      <c r="R675" t="s">
        <v>30</v>
      </c>
      <c r="S675" t="s">
        <v>31</v>
      </c>
      <c r="T675" t="s">
        <v>40</v>
      </c>
    </row>
    <row r="676" spans="1:20" x14ac:dyDescent="0.25">
      <c r="A676" t="s">
        <v>20</v>
      </c>
      <c r="B676" t="s">
        <v>1449</v>
      </c>
      <c r="C676" s="1">
        <v>46191</v>
      </c>
      <c r="D676" t="s">
        <v>1450</v>
      </c>
      <c r="E676" t="s">
        <v>35</v>
      </c>
      <c r="F676" t="s">
        <v>55</v>
      </c>
      <c r="G676">
        <v>20</v>
      </c>
      <c r="H676" t="s">
        <v>85</v>
      </c>
      <c r="I676" t="s">
        <v>26</v>
      </c>
      <c r="J676" t="s">
        <v>45</v>
      </c>
      <c r="K676" t="s">
        <v>58</v>
      </c>
      <c r="L676">
        <v>2</v>
      </c>
      <c r="M676">
        <v>96000</v>
      </c>
      <c r="N676">
        <v>10</v>
      </c>
      <c r="O676">
        <v>172800</v>
      </c>
      <c r="P676">
        <v>13676.85</v>
      </c>
      <c r="Q676" t="s">
        <v>380</v>
      </c>
      <c r="R676" t="s">
        <v>30</v>
      </c>
      <c r="S676" t="s">
        <v>31</v>
      </c>
      <c r="T676" t="s">
        <v>32</v>
      </c>
    </row>
    <row r="677" spans="1:20" x14ac:dyDescent="0.25">
      <c r="A677" t="s">
        <v>20</v>
      </c>
      <c r="B677" t="s">
        <v>1451</v>
      </c>
      <c r="C677" s="1">
        <v>45853</v>
      </c>
      <c r="D677" t="s">
        <v>1452</v>
      </c>
      <c r="E677" t="s">
        <v>43</v>
      </c>
      <c r="F677" t="s">
        <v>24</v>
      </c>
      <c r="G677">
        <v>20</v>
      </c>
      <c r="H677" t="s">
        <v>73</v>
      </c>
      <c r="I677" t="s">
        <v>26</v>
      </c>
      <c r="J677" t="s">
        <v>77</v>
      </c>
      <c r="K677" t="s">
        <v>28</v>
      </c>
      <c r="L677">
        <v>1</v>
      </c>
      <c r="M677">
        <v>194000</v>
      </c>
      <c r="N677">
        <v>3</v>
      </c>
      <c r="O677">
        <v>188180</v>
      </c>
      <c r="P677">
        <v>31976.720000000001</v>
      </c>
      <c r="Q677" t="s">
        <v>74</v>
      </c>
      <c r="R677" t="s">
        <v>60</v>
      </c>
      <c r="S677" t="s">
        <v>87</v>
      </c>
      <c r="T677" t="s">
        <v>32</v>
      </c>
    </row>
    <row r="678" spans="1:20" x14ac:dyDescent="0.25">
      <c r="A678" t="s">
        <v>20</v>
      </c>
      <c r="B678" t="s">
        <v>1453</v>
      </c>
      <c r="C678" s="1">
        <v>46094</v>
      </c>
      <c r="D678" t="s">
        <v>1454</v>
      </c>
      <c r="E678" t="s">
        <v>43</v>
      </c>
      <c r="F678" t="s">
        <v>55</v>
      </c>
      <c r="G678">
        <v>53</v>
      </c>
      <c r="H678" t="s">
        <v>85</v>
      </c>
      <c r="I678" t="s">
        <v>26</v>
      </c>
      <c r="J678" t="s">
        <v>57</v>
      </c>
      <c r="K678" t="s">
        <v>68</v>
      </c>
      <c r="L678">
        <v>1</v>
      </c>
      <c r="M678">
        <v>175000</v>
      </c>
      <c r="N678">
        <v>3</v>
      </c>
      <c r="O678">
        <v>169750</v>
      </c>
      <c r="P678">
        <v>15858.1</v>
      </c>
      <c r="Q678" t="s">
        <v>46</v>
      </c>
      <c r="R678" t="s">
        <v>38</v>
      </c>
      <c r="S678" t="s">
        <v>39</v>
      </c>
      <c r="T678" t="s">
        <v>32</v>
      </c>
    </row>
    <row r="679" spans="1:20" x14ac:dyDescent="0.25">
      <c r="A679" t="s">
        <v>20</v>
      </c>
      <c r="B679" t="s">
        <v>1455</v>
      </c>
      <c r="C679" s="1">
        <v>46105</v>
      </c>
      <c r="D679" t="s">
        <v>1456</v>
      </c>
      <c r="E679" t="s">
        <v>23</v>
      </c>
      <c r="F679" t="s">
        <v>55</v>
      </c>
      <c r="G679">
        <v>38</v>
      </c>
      <c r="H679" t="s">
        <v>73</v>
      </c>
      <c r="I679" t="s">
        <v>26</v>
      </c>
      <c r="J679" t="s">
        <v>36</v>
      </c>
      <c r="K679" t="s">
        <v>28</v>
      </c>
      <c r="L679">
        <v>1</v>
      </c>
      <c r="M679">
        <v>115000</v>
      </c>
      <c r="N679">
        <v>3</v>
      </c>
      <c r="O679">
        <v>111550</v>
      </c>
      <c r="P679">
        <v>10187.74</v>
      </c>
      <c r="Q679" t="s">
        <v>82</v>
      </c>
      <c r="R679" t="s">
        <v>30</v>
      </c>
      <c r="S679" t="s">
        <v>87</v>
      </c>
      <c r="T679" t="s">
        <v>40</v>
      </c>
    </row>
    <row r="680" spans="1:20" x14ac:dyDescent="0.25">
      <c r="A680" t="s">
        <v>20</v>
      </c>
      <c r="B680" t="s">
        <v>1457</v>
      </c>
      <c r="C680" s="1">
        <v>46112</v>
      </c>
      <c r="D680" t="s">
        <v>1458</v>
      </c>
      <c r="E680" t="s">
        <v>80</v>
      </c>
      <c r="F680" t="s">
        <v>24</v>
      </c>
      <c r="G680">
        <v>52</v>
      </c>
      <c r="H680" t="s">
        <v>85</v>
      </c>
      <c r="I680" t="s">
        <v>26</v>
      </c>
      <c r="J680" t="s">
        <v>27</v>
      </c>
      <c r="K680" t="s">
        <v>58</v>
      </c>
      <c r="L680">
        <v>1</v>
      </c>
      <c r="M680">
        <v>96000</v>
      </c>
      <c r="N680">
        <v>7</v>
      </c>
      <c r="O680">
        <v>89280</v>
      </c>
      <c r="P680">
        <v>13251.43</v>
      </c>
      <c r="Q680" t="s">
        <v>52</v>
      </c>
      <c r="R680" t="s">
        <v>96</v>
      </c>
      <c r="S680" t="s">
        <v>47</v>
      </c>
      <c r="T680" t="s">
        <v>40</v>
      </c>
    </row>
    <row r="681" spans="1:20" x14ac:dyDescent="0.25">
      <c r="A681" t="s">
        <v>20</v>
      </c>
      <c r="B681" t="s">
        <v>1459</v>
      </c>
      <c r="C681" s="1">
        <v>46133</v>
      </c>
      <c r="D681" t="s">
        <v>1460</v>
      </c>
      <c r="E681" t="s">
        <v>94</v>
      </c>
      <c r="F681" t="s">
        <v>55</v>
      </c>
      <c r="G681">
        <v>46</v>
      </c>
      <c r="H681" t="s">
        <v>44</v>
      </c>
      <c r="I681" t="s">
        <v>26</v>
      </c>
      <c r="J681" t="s">
        <v>27</v>
      </c>
      <c r="K681" t="s">
        <v>101</v>
      </c>
      <c r="L681">
        <v>2</v>
      </c>
      <c r="M681">
        <v>93000</v>
      </c>
      <c r="N681">
        <v>3</v>
      </c>
      <c r="O681">
        <v>180420</v>
      </c>
      <c r="P681">
        <v>13742.81</v>
      </c>
      <c r="Q681" t="s">
        <v>52</v>
      </c>
      <c r="R681" t="s">
        <v>60</v>
      </c>
      <c r="S681" t="s">
        <v>39</v>
      </c>
      <c r="T681" t="s">
        <v>40</v>
      </c>
    </row>
    <row r="682" spans="1:20" x14ac:dyDescent="0.25">
      <c r="A682" t="s">
        <v>20</v>
      </c>
      <c r="B682" t="s">
        <v>1461</v>
      </c>
      <c r="C682" s="1">
        <v>45684</v>
      </c>
      <c r="D682" t="s">
        <v>1462</v>
      </c>
      <c r="E682" t="s">
        <v>43</v>
      </c>
      <c r="F682" t="s">
        <v>24</v>
      </c>
      <c r="G682">
        <v>29</v>
      </c>
      <c r="H682" t="s">
        <v>95</v>
      </c>
      <c r="I682" t="s">
        <v>26</v>
      </c>
      <c r="J682" t="s">
        <v>104</v>
      </c>
      <c r="K682" t="s">
        <v>101</v>
      </c>
      <c r="L682">
        <v>1</v>
      </c>
      <c r="M682">
        <v>168000</v>
      </c>
      <c r="N682">
        <v>5</v>
      </c>
      <c r="O682">
        <v>159600</v>
      </c>
      <c r="P682">
        <v>27901.279999999999</v>
      </c>
      <c r="Q682" t="s">
        <v>37</v>
      </c>
      <c r="R682" t="s">
        <v>38</v>
      </c>
      <c r="S682" t="s">
        <v>31</v>
      </c>
      <c r="T682" t="s">
        <v>40</v>
      </c>
    </row>
    <row r="683" spans="1:20" x14ac:dyDescent="0.25">
      <c r="A683" t="s">
        <v>20</v>
      </c>
      <c r="B683" t="s">
        <v>1463</v>
      </c>
      <c r="C683" s="1">
        <v>46057</v>
      </c>
      <c r="D683" t="s">
        <v>1464</v>
      </c>
      <c r="E683" t="s">
        <v>94</v>
      </c>
      <c r="F683" t="s">
        <v>24</v>
      </c>
      <c r="G683">
        <v>31</v>
      </c>
      <c r="H683" t="s">
        <v>95</v>
      </c>
      <c r="I683" t="s">
        <v>26</v>
      </c>
      <c r="J683" t="s">
        <v>111</v>
      </c>
      <c r="K683" t="s">
        <v>68</v>
      </c>
      <c r="L683">
        <v>1</v>
      </c>
      <c r="M683">
        <v>126000</v>
      </c>
      <c r="N683">
        <v>5</v>
      </c>
      <c r="O683">
        <v>119700</v>
      </c>
      <c r="P683">
        <v>19471.48</v>
      </c>
      <c r="Q683" t="s">
        <v>59</v>
      </c>
      <c r="R683" t="s">
        <v>96</v>
      </c>
      <c r="S683" t="s">
        <v>69</v>
      </c>
      <c r="T683" t="s">
        <v>32</v>
      </c>
    </row>
    <row r="684" spans="1:20" x14ac:dyDescent="0.25">
      <c r="A684" t="s">
        <v>20</v>
      </c>
      <c r="B684" t="s">
        <v>1465</v>
      </c>
      <c r="C684" s="1">
        <v>46224</v>
      </c>
      <c r="D684" t="s">
        <v>1466</v>
      </c>
      <c r="E684" t="s">
        <v>43</v>
      </c>
      <c r="F684" t="s">
        <v>55</v>
      </c>
      <c r="G684">
        <v>30</v>
      </c>
      <c r="H684" t="s">
        <v>108</v>
      </c>
      <c r="I684" t="s">
        <v>26</v>
      </c>
      <c r="J684" t="s">
        <v>36</v>
      </c>
      <c r="K684" t="s">
        <v>28</v>
      </c>
      <c r="L684">
        <v>1</v>
      </c>
      <c r="M684">
        <v>115000</v>
      </c>
      <c r="N684">
        <v>10</v>
      </c>
      <c r="O684">
        <v>103500</v>
      </c>
      <c r="P684">
        <v>1150.02</v>
      </c>
      <c r="Q684" t="s">
        <v>82</v>
      </c>
      <c r="R684" t="s">
        <v>30</v>
      </c>
      <c r="S684" t="s">
        <v>47</v>
      </c>
      <c r="T684" t="s">
        <v>32</v>
      </c>
    </row>
    <row r="685" spans="1:20" x14ac:dyDescent="0.25">
      <c r="A685" t="s">
        <v>20</v>
      </c>
      <c r="B685" t="s">
        <v>1467</v>
      </c>
      <c r="C685" s="1">
        <v>45738</v>
      </c>
      <c r="D685" t="s">
        <v>1468</v>
      </c>
      <c r="E685" t="s">
        <v>80</v>
      </c>
      <c r="F685" t="s">
        <v>55</v>
      </c>
      <c r="G685">
        <v>44</v>
      </c>
      <c r="H685" t="s">
        <v>73</v>
      </c>
      <c r="I685" t="s">
        <v>26</v>
      </c>
      <c r="J685" t="s">
        <v>81</v>
      </c>
      <c r="K685" t="s">
        <v>58</v>
      </c>
      <c r="L685">
        <v>1</v>
      </c>
      <c r="M685">
        <v>237000</v>
      </c>
      <c r="N685">
        <v>0</v>
      </c>
      <c r="O685">
        <v>220410</v>
      </c>
      <c r="P685">
        <v>9368.2999999999993</v>
      </c>
      <c r="Q685" t="s">
        <v>86</v>
      </c>
      <c r="R685" t="s">
        <v>96</v>
      </c>
      <c r="S685" t="s">
        <v>31</v>
      </c>
      <c r="T685" t="s">
        <v>32</v>
      </c>
    </row>
    <row r="686" spans="1:20" x14ac:dyDescent="0.25">
      <c r="A686" t="s">
        <v>20</v>
      </c>
      <c r="B686" t="s">
        <v>1469</v>
      </c>
      <c r="C686" s="1">
        <v>46045</v>
      </c>
      <c r="D686" t="s">
        <v>1470</v>
      </c>
      <c r="E686" t="s">
        <v>80</v>
      </c>
      <c r="F686" t="s">
        <v>24</v>
      </c>
      <c r="G686">
        <v>36</v>
      </c>
      <c r="H686" t="s">
        <v>44</v>
      </c>
      <c r="I686" t="s">
        <v>26</v>
      </c>
      <c r="J686" t="s">
        <v>104</v>
      </c>
      <c r="K686" t="s">
        <v>28</v>
      </c>
      <c r="L686">
        <v>1</v>
      </c>
      <c r="M686">
        <v>169000</v>
      </c>
      <c r="N686">
        <v>10</v>
      </c>
      <c r="O686">
        <v>152100</v>
      </c>
      <c r="P686">
        <v>4461.01</v>
      </c>
      <c r="Q686" t="s">
        <v>37</v>
      </c>
      <c r="R686" t="s">
        <v>126</v>
      </c>
      <c r="S686" t="s">
        <v>61</v>
      </c>
      <c r="T686" t="s">
        <v>32</v>
      </c>
    </row>
    <row r="687" spans="1:20" x14ac:dyDescent="0.25">
      <c r="A687" t="s">
        <v>20</v>
      </c>
      <c r="B687" t="s">
        <v>1471</v>
      </c>
      <c r="C687" s="1">
        <v>45926</v>
      </c>
      <c r="D687" t="s">
        <v>1472</v>
      </c>
      <c r="E687" t="s">
        <v>23</v>
      </c>
      <c r="F687" t="s">
        <v>55</v>
      </c>
      <c r="G687">
        <v>31</v>
      </c>
      <c r="H687" t="s">
        <v>85</v>
      </c>
      <c r="I687" t="s">
        <v>26</v>
      </c>
      <c r="J687" t="s">
        <v>27</v>
      </c>
      <c r="K687" t="s">
        <v>58</v>
      </c>
      <c r="L687">
        <v>2</v>
      </c>
      <c r="M687">
        <v>93000</v>
      </c>
      <c r="N687">
        <v>0</v>
      </c>
      <c r="O687">
        <v>186000</v>
      </c>
      <c r="P687">
        <v>37754.230000000003</v>
      </c>
      <c r="Q687" t="s">
        <v>86</v>
      </c>
      <c r="R687" t="s">
        <v>96</v>
      </c>
      <c r="S687" t="s">
        <v>47</v>
      </c>
      <c r="T687" t="s">
        <v>32</v>
      </c>
    </row>
    <row r="688" spans="1:20" x14ac:dyDescent="0.25">
      <c r="A688" t="s">
        <v>20</v>
      </c>
      <c r="B688" t="s">
        <v>1473</v>
      </c>
      <c r="C688" s="1">
        <v>46087</v>
      </c>
      <c r="D688" t="s">
        <v>1474</v>
      </c>
      <c r="E688" t="s">
        <v>43</v>
      </c>
      <c r="F688" t="s">
        <v>24</v>
      </c>
      <c r="G688">
        <v>44</v>
      </c>
      <c r="H688" t="s">
        <v>210</v>
      </c>
      <c r="I688" t="s">
        <v>26</v>
      </c>
      <c r="J688" t="s">
        <v>57</v>
      </c>
      <c r="K688" t="s">
        <v>68</v>
      </c>
      <c r="L688">
        <v>1</v>
      </c>
      <c r="M688">
        <v>175000</v>
      </c>
      <c r="N688">
        <v>10</v>
      </c>
      <c r="O688">
        <v>157500</v>
      </c>
      <c r="P688">
        <v>19397.43</v>
      </c>
      <c r="Q688" t="s">
        <v>37</v>
      </c>
      <c r="R688" t="s">
        <v>60</v>
      </c>
      <c r="S688" t="s">
        <v>69</v>
      </c>
      <c r="T688" t="s">
        <v>32</v>
      </c>
    </row>
    <row r="689" spans="1:20" x14ac:dyDescent="0.25">
      <c r="A689" t="s">
        <v>20</v>
      </c>
      <c r="B689" t="s">
        <v>1475</v>
      </c>
      <c r="C689" s="1">
        <v>46272</v>
      </c>
      <c r="D689" t="s">
        <v>1476</v>
      </c>
      <c r="E689" t="s">
        <v>80</v>
      </c>
      <c r="F689" t="s">
        <v>55</v>
      </c>
      <c r="G689">
        <v>54</v>
      </c>
      <c r="H689" t="s">
        <v>25</v>
      </c>
      <c r="I689" t="s">
        <v>26</v>
      </c>
      <c r="J689" t="s">
        <v>81</v>
      </c>
      <c r="K689" t="s">
        <v>101</v>
      </c>
      <c r="L689">
        <v>1</v>
      </c>
      <c r="M689">
        <v>235000</v>
      </c>
      <c r="N689">
        <v>3</v>
      </c>
      <c r="O689">
        <v>227950</v>
      </c>
      <c r="P689">
        <v>31003.71</v>
      </c>
      <c r="Q689" t="s">
        <v>82</v>
      </c>
      <c r="R689" t="s">
        <v>96</v>
      </c>
      <c r="S689" t="s">
        <v>87</v>
      </c>
      <c r="T689" t="s">
        <v>32</v>
      </c>
    </row>
    <row r="690" spans="1:20" x14ac:dyDescent="0.25">
      <c r="A690" t="s">
        <v>20</v>
      </c>
      <c r="B690" t="s">
        <v>1477</v>
      </c>
      <c r="C690" s="1">
        <v>45775</v>
      </c>
      <c r="D690" t="s">
        <v>1478</v>
      </c>
      <c r="E690" t="s">
        <v>80</v>
      </c>
      <c r="F690" t="s">
        <v>24</v>
      </c>
      <c r="G690">
        <v>33</v>
      </c>
      <c r="H690" t="s">
        <v>25</v>
      </c>
      <c r="I690" t="s">
        <v>26</v>
      </c>
      <c r="J690" t="s">
        <v>36</v>
      </c>
      <c r="K690" t="s">
        <v>68</v>
      </c>
      <c r="L690">
        <v>1</v>
      </c>
      <c r="M690">
        <v>114000</v>
      </c>
      <c r="N690">
        <v>2</v>
      </c>
      <c r="O690">
        <v>111720</v>
      </c>
      <c r="P690">
        <v>10941.16</v>
      </c>
      <c r="Q690" t="s">
        <v>52</v>
      </c>
      <c r="R690" t="s">
        <v>30</v>
      </c>
      <c r="S690" t="s">
        <v>61</v>
      </c>
      <c r="T690" t="s">
        <v>32</v>
      </c>
    </row>
    <row r="691" spans="1:20" x14ac:dyDescent="0.25">
      <c r="A691" t="s">
        <v>20</v>
      </c>
      <c r="B691" t="s">
        <v>1479</v>
      </c>
      <c r="C691" s="1">
        <v>45959</v>
      </c>
      <c r="D691" t="s">
        <v>1480</v>
      </c>
      <c r="E691" t="s">
        <v>35</v>
      </c>
      <c r="F691" t="s">
        <v>24</v>
      </c>
      <c r="G691">
        <v>49</v>
      </c>
      <c r="H691" t="s">
        <v>51</v>
      </c>
      <c r="I691" t="s">
        <v>26</v>
      </c>
      <c r="J691" t="s">
        <v>104</v>
      </c>
      <c r="K691" t="s">
        <v>58</v>
      </c>
      <c r="L691">
        <v>1</v>
      </c>
      <c r="M691">
        <v>168000</v>
      </c>
      <c r="N691">
        <v>3</v>
      </c>
      <c r="O691">
        <v>162960</v>
      </c>
      <c r="P691">
        <v>17645.04</v>
      </c>
      <c r="Q691" t="s">
        <v>52</v>
      </c>
      <c r="R691" t="s">
        <v>60</v>
      </c>
      <c r="S691" t="s">
        <v>31</v>
      </c>
      <c r="T691" t="s">
        <v>32</v>
      </c>
    </row>
    <row r="692" spans="1:20" x14ac:dyDescent="0.25">
      <c r="A692" t="s">
        <v>20</v>
      </c>
      <c r="B692" t="s">
        <v>1481</v>
      </c>
      <c r="C692" s="1">
        <v>45868</v>
      </c>
      <c r="D692" t="s">
        <v>1482</v>
      </c>
      <c r="E692" t="s">
        <v>94</v>
      </c>
      <c r="F692" t="s">
        <v>24</v>
      </c>
      <c r="G692">
        <v>51</v>
      </c>
      <c r="H692" t="s">
        <v>95</v>
      </c>
      <c r="I692" t="s">
        <v>26</v>
      </c>
      <c r="J692" t="s">
        <v>104</v>
      </c>
      <c r="K692" t="s">
        <v>58</v>
      </c>
      <c r="L692">
        <v>1</v>
      </c>
      <c r="M692">
        <v>171000</v>
      </c>
      <c r="N692">
        <v>3</v>
      </c>
      <c r="O692">
        <v>165870</v>
      </c>
      <c r="P692">
        <v>29090.799999999999</v>
      </c>
      <c r="Q692" t="s">
        <v>105</v>
      </c>
      <c r="R692" t="s">
        <v>60</v>
      </c>
      <c r="S692" t="s">
        <v>87</v>
      </c>
      <c r="T692" t="s">
        <v>32</v>
      </c>
    </row>
    <row r="693" spans="1:20" x14ac:dyDescent="0.25">
      <c r="A693" t="s">
        <v>20</v>
      </c>
      <c r="B693" t="s">
        <v>1483</v>
      </c>
      <c r="C693" s="1">
        <v>45723</v>
      </c>
      <c r="D693" t="s">
        <v>1484</v>
      </c>
      <c r="E693" t="s">
        <v>129</v>
      </c>
      <c r="F693" t="s">
        <v>55</v>
      </c>
      <c r="G693">
        <v>48</v>
      </c>
      <c r="H693" t="s">
        <v>95</v>
      </c>
      <c r="I693" t="s">
        <v>26</v>
      </c>
      <c r="J693" t="s">
        <v>81</v>
      </c>
      <c r="K693" t="s">
        <v>101</v>
      </c>
      <c r="L693">
        <v>1</v>
      </c>
      <c r="M693">
        <v>236000</v>
      </c>
      <c r="N693">
        <v>3</v>
      </c>
      <c r="O693">
        <v>228920</v>
      </c>
      <c r="P693">
        <v>34249.440000000002</v>
      </c>
      <c r="Q693" t="s">
        <v>105</v>
      </c>
      <c r="R693" t="s">
        <v>60</v>
      </c>
      <c r="S693" t="s">
        <v>87</v>
      </c>
      <c r="T693" t="s">
        <v>40</v>
      </c>
    </row>
    <row r="694" spans="1:20" x14ac:dyDescent="0.25">
      <c r="A694" t="s">
        <v>20</v>
      </c>
      <c r="B694" t="s">
        <v>1485</v>
      </c>
      <c r="C694" s="1">
        <v>46024</v>
      </c>
      <c r="D694" t="s">
        <v>1486</v>
      </c>
      <c r="E694" t="s">
        <v>23</v>
      </c>
      <c r="F694" t="s">
        <v>55</v>
      </c>
      <c r="G694">
        <v>35</v>
      </c>
      <c r="H694" t="s">
        <v>25</v>
      </c>
      <c r="I694" t="s">
        <v>26</v>
      </c>
      <c r="J694" t="s">
        <v>77</v>
      </c>
      <c r="K694" t="s">
        <v>101</v>
      </c>
      <c r="L694">
        <v>1</v>
      </c>
      <c r="M694">
        <v>195000</v>
      </c>
      <c r="N694">
        <v>5</v>
      </c>
      <c r="O694">
        <v>185250</v>
      </c>
      <c r="P694">
        <v>14643.02</v>
      </c>
      <c r="Q694" t="s">
        <v>86</v>
      </c>
      <c r="R694" t="s">
        <v>96</v>
      </c>
      <c r="S694" t="s">
        <v>39</v>
      </c>
      <c r="T694" t="s">
        <v>32</v>
      </c>
    </row>
    <row r="695" spans="1:20" x14ac:dyDescent="0.25">
      <c r="A695" t="s">
        <v>20</v>
      </c>
      <c r="B695" t="s">
        <v>1487</v>
      </c>
      <c r="C695" s="1">
        <v>46239</v>
      </c>
      <c r="D695" t="s">
        <v>1488</v>
      </c>
      <c r="E695" t="s">
        <v>50</v>
      </c>
      <c r="F695" t="s">
        <v>55</v>
      </c>
      <c r="G695">
        <v>40</v>
      </c>
      <c r="H695" t="s">
        <v>56</v>
      </c>
      <c r="I695" t="s">
        <v>26</v>
      </c>
      <c r="J695" t="s">
        <v>118</v>
      </c>
      <c r="K695" t="s">
        <v>58</v>
      </c>
      <c r="L695">
        <v>1</v>
      </c>
      <c r="M695">
        <v>87000</v>
      </c>
      <c r="N695">
        <v>3</v>
      </c>
      <c r="O695">
        <v>84390</v>
      </c>
      <c r="P695">
        <v>14298.22</v>
      </c>
      <c r="Q695" t="s">
        <v>74</v>
      </c>
      <c r="R695" t="s">
        <v>96</v>
      </c>
      <c r="S695" t="s">
        <v>87</v>
      </c>
      <c r="T695" t="s">
        <v>32</v>
      </c>
    </row>
    <row r="696" spans="1:20" x14ac:dyDescent="0.25">
      <c r="A696" t="s">
        <v>20</v>
      </c>
      <c r="B696" t="s">
        <v>1489</v>
      </c>
      <c r="C696" s="1">
        <v>46089</v>
      </c>
      <c r="D696" t="s">
        <v>1490</v>
      </c>
      <c r="E696" t="s">
        <v>43</v>
      </c>
      <c r="F696" t="s">
        <v>24</v>
      </c>
      <c r="G696">
        <v>47</v>
      </c>
      <c r="H696" t="s">
        <v>51</v>
      </c>
      <c r="I696" t="s">
        <v>26</v>
      </c>
      <c r="J696" t="s">
        <v>27</v>
      </c>
      <c r="K696" t="s">
        <v>68</v>
      </c>
      <c r="L696">
        <v>1</v>
      </c>
      <c r="M696">
        <v>97000</v>
      </c>
      <c r="N696">
        <v>0</v>
      </c>
      <c r="O696">
        <v>97000</v>
      </c>
      <c r="P696">
        <v>14659.24</v>
      </c>
      <c r="Q696" t="s">
        <v>52</v>
      </c>
      <c r="R696" t="s">
        <v>30</v>
      </c>
      <c r="S696" t="s">
        <v>47</v>
      </c>
      <c r="T696" t="s">
        <v>40</v>
      </c>
    </row>
    <row r="697" spans="1:20" x14ac:dyDescent="0.25">
      <c r="A697" t="s">
        <v>20</v>
      </c>
      <c r="B697" t="s">
        <v>1491</v>
      </c>
      <c r="C697" s="1">
        <v>45992</v>
      </c>
      <c r="D697" t="s">
        <v>1492</v>
      </c>
      <c r="E697" t="s">
        <v>50</v>
      </c>
      <c r="F697" t="s">
        <v>55</v>
      </c>
      <c r="G697">
        <v>44</v>
      </c>
      <c r="H697" t="s">
        <v>51</v>
      </c>
      <c r="I697" t="s">
        <v>26</v>
      </c>
      <c r="J697" t="s">
        <v>118</v>
      </c>
      <c r="K697" t="s">
        <v>101</v>
      </c>
      <c r="L697">
        <v>1</v>
      </c>
      <c r="M697">
        <v>83000</v>
      </c>
      <c r="N697">
        <v>5</v>
      </c>
      <c r="O697">
        <v>78850</v>
      </c>
      <c r="P697">
        <v>12405.45</v>
      </c>
      <c r="Q697" t="s">
        <v>105</v>
      </c>
      <c r="R697" t="s">
        <v>30</v>
      </c>
      <c r="S697" t="s">
        <v>47</v>
      </c>
      <c r="T697" t="s">
        <v>40</v>
      </c>
    </row>
    <row r="698" spans="1:20" x14ac:dyDescent="0.25">
      <c r="A698" t="s">
        <v>20</v>
      </c>
      <c r="B698" t="s">
        <v>1493</v>
      </c>
      <c r="C698" s="1">
        <v>45674</v>
      </c>
      <c r="D698" t="s">
        <v>1494</v>
      </c>
      <c r="E698" t="s">
        <v>35</v>
      </c>
      <c r="F698" t="s">
        <v>55</v>
      </c>
      <c r="G698">
        <v>24</v>
      </c>
      <c r="H698" t="s">
        <v>95</v>
      </c>
      <c r="I698" t="s">
        <v>26</v>
      </c>
      <c r="J698" t="s">
        <v>45</v>
      </c>
      <c r="K698" t="s">
        <v>58</v>
      </c>
      <c r="L698">
        <v>1</v>
      </c>
      <c r="M698">
        <v>99000</v>
      </c>
      <c r="N698">
        <v>7</v>
      </c>
      <c r="O698">
        <v>92070</v>
      </c>
      <c r="P698">
        <v>14385.25</v>
      </c>
      <c r="Q698" t="s">
        <v>74</v>
      </c>
      <c r="R698" t="s">
        <v>60</v>
      </c>
      <c r="S698" t="s">
        <v>39</v>
      </c>
      <c r="T698" t="s">
        <v>40</v>
      </c>
    </row>
    <row r="699" spans="1:20" x14ac:dyDescent="0.25">
      <c r="A699" t="s">
        <v>20</v>
      </c>
      <c r="B699" t="s">
        <v>1495</v>
      </c>
      <c r="C699" s="1">
        <v>46060</v>
      </c>
      <c r="D699" t="s">
        <v>1496</v>
      </c>
      <c r="E699" t="s">
        <v>35</v>
      </c>
      <c r="F699" t="s">
        <v>24</v>
      </c>
      <c r="G699">
        <v>0</v>
      </c>
      <c r="H699" t="s">
        <v>108</v>
      </c>
      <c r="I699" t="s">
        <v>26</v>
      </c>
      <c r="J699" t="s">
        <v>77</v>
      </c>
      <c r="K699" t="s">
        <v>28</v>
      </c>
      <c r="L699">
        <v>1</v>
      </c>
      <c r="M699">
        <v>195000</v>
      </c>
      <c r="N699">
        <v>5</v>
      </c>
      <c r="O699">
        <v>185250</v>
      </c>
      <c r="P699">
        <v>18821.7</v>
      </c>
      <c r="Q699" t="s">
        <v>86</v>
      </c>
      <c r="R699" t="s">
        <v>30</v>
      </c>
      <c r="S699" t="s">
        <v>69</v>
      </c>
      <c r="T699" t="s">
        <v>32</v>
      </c>
    </row>
    <row r="700" spans="1:20" x14ac:dyDescent="0.25">
      <c r="A700" t="s">
        <v>20</v>
      </c>
      <c r="B700" t="s">
        <v>1497</v>
      </c>
      <c r="C700" s="1">
        <v>45889</v>
      </c>
      <c r="D700" t="s">
        <v>1498</v>
      </c>
      <c r="E700" t="s">
        <v>23</v>
      </c>
      <c r="F700" t="s">
        <v>55</v>
      </c>
      <c r="G700">
        <v>30</v>
      </c>
      <c r="H700" t="s">
        <v>25</v>
      </c>
      <c r="I700" t="s">
        <v>26</v>
      </c>
      <c r="J700" t="s">
        <v>118</v>
      </c>
      <c r="K700" t="s">
        <v>101</v>
      </c>
      <c r="L700">
        <v>1</v>
      </c>
      <c r="M700">
        <v>85000</v>
      </c>
      <c r="N700">
        <v>10</v>
      </c>
      <c r="O700">
        <v>76500</v>
      </c>
      <c r="P700">
        <v>2812.62</v>
      </c>
      <c r="Q700" t="s">
        <v>105</v>
      </c>
      <c r="R700" t="s">
        <v>30</v>
      </c>
      <c r="S700" t="s">
        <v>39</v>
      </c>
      <c r="T700" t="s">
        <v>32</v>
      </c>
    </row>
    <row r="701" spans="1:20" x14ac:dyDescent="0.25">
      <c r="A701" t="s">
        <v>20</v>
      </c>
      <c r="B701" t="s">
        <v>1499</v>
      </c>
      <c r="C701" s="1">
        <v>46046</v>
      </c>
      <c r="D701" t="s">
        <v>1500</v>
      </c>
      <c r="E701" t="s">
        <v>129</v>
      </c>
      <c r="F701" t="s">
        <v>55</v>
      </c>
      <c r="G701">
        <v>37</v>
      </c>
      <c r="H701" t="s">
        <v>25</v>
      </c>
      <c r="I701" t="s">
        <v>26</v>
      </c>
      <c r="J701" t="s">
        <v>27</v>
      </c>
      <c r="K701" t="s">
        <v>58</v>
      </c>
      <c r="L701">
        <v>2</v>
      </c>
      <c r="M701">
        <v>93000</v>
      </c>
      <c r="N701">
        <v>3</v>
      </c>
      <c r="O701">
        <v>180420</v>
      </c>
      <c r="P701">
        <v>27989.38</v>
      </c>
      <c r="Q701" t="s">
        <v>82</v>
      </c>
      <c r="R701" t="s">
        <v>96</v>
      </c>
      <c r="S701" t="s">
        <v>39</v>
      </c>
      <c r="T701" t="s">
        <v>32</v>
      </c>
    </row>
    <row r="702" spans="1:20" x14ac:dyDescent="0.25">
      <c r="A702" t="s">
        <v>20</v>
      </c>
      <c r="B702" t="s">
        <v>1501</v>
      </c>
      <c r="C702" s="1">
        <v>45904</v>
      </c>
      <c r="D702" t="s">
        <v>1502</v>
      </c>
      <c r="E702" t="s">
        <v>35</v>
      </c>
      <c r="F702" t="s">
        <v>24</v>
      </c>
      <c r="G702">
        <v>50</v>
      </c>
      <c r="H702" t="s">
        <v>95</v>
      </c>
      <c r="I702" t="s">
        <v>26</v>
      </c>
      <c r="J702" t="s">
        <v>81</v>
      </c>
      <c r="K702" t="s">
        <v>101</v>
      </c>
      <c r="L702">
        <v>1</v>
      </c>
      <c r="M702">
        <v>237000</v>
      </c>
      <c r="N702">
        <v>0</v>
      </c>
      <c r="O702">
        <v>237000</v>
      </c>
      <c r="P702">
        <v>37301.040000000001</v>
      </c>
      <c r="Q702" t="s">
        <v>46</v>
      </c>
      <c r="R702" t="s">
        <v>96</v>
      </c>
      <c r="S702" t="s">
        <v>69</v>
      </c>
      <c r="T702" t="s">
        <v>40</v>
      </c>
    </row>
    <row r="703" spans="1:20" x14ac:dyDescent="0.25">
      <c r="A703" t="s">
        <v>20</v>
      </c>
      <c r="B703" t="s">
        <v>1503</v>
      </c>
      <c r="C703" s="1">
        <v>45868</v>
      </c>
      <c r="D703" t="s">
        <v>1504</v>
      </c>
      <c r="E703" t="s">
        <v>270</v>
      </c>
      <c r="F703" t="s">
        <v>24</v>
      </c>
      <c r="G703">
        <v>24</v>
      </c>
      <c r="H703" t="s">
        <v>108</v>
      </c>
      <c r="I703" t="s">
        <v>26</v>
      </c>
      <c r="J703" t="s">
        <v>104</v>
      </c>
      <c r="K703" t="s">
        <v>28</v>
      </c>
      <c r="L703">
        <v>1</v>
      </c>
      <c r="M703">
        <v>169000</v>
      </c>
      <c r="N703">
        <v>10</v>
      </c>
      <c r="O703">
        <v>152100</v>
      </c>
      <c r="P703">
        <v>7156.12</v>
      </c>
      <c r="Q703" t="s">
        <v>52</v>
      </c>
      <c r="R703" t="s">
        <v>30</v>
      </c>
      <c r="S703" t="s">
        <v>61</v>
      </c>
      <c r="T703" t="s">
        <v>32</v>
      </c>
    </row>
    <row r="704" spans="1:20" x14ac:dyDescent="0.25">
      <c r="A704" t="s">
        <v>20</v>
      </c>
      <c r="B704" t="s">
        <v>1505</v>
      </c>
      <c r="C704" s="1">
        <v>46262</v>
      </c>
      <c r="D704" t="s">
        <v>1506</v>
      </c>
      <c r="E704" t="s">
        <v>43</v>
      </c>
      <c r="F704" t="s">
        <v>24</v>
      </c>
      <c r="G704">
        <v>53</v>
      </c>
      <c r="H704" t="s">
        <v>95</v>
      </c>
      <c r="I704" t="s">
        <v>26</v>
      </c>
      <c r="J704" t="s">
        <v>57</v>
      </c>
      <c r="K704" t="s">
        <v>58</v>
      </c>
      <c r="L704">
        <v>1</v>
      </c>
      <c r="M704">
        <v>173000</v>
      </c>
      <c r="N704">
        <v>3</v>
      </c>
      <c r="O704">
        <v>167810</v>
      </c>
      <c r="P704">
        <v>28538.19</v>
      </c>
      <c r="Q704" t="s">
        <v>37</v>
      </c>
      <c r="R704" t="s">
        <v>30</v>
      </c>
      <c r="S704" t="s">
        <v>31</v>
      </c>
      <c r="T704" t="s">
        <v>32</v>
      </c>
    </row>
    <row r="705" spans="1:20" x14ac:dyDescent="0.25">
      <c r="A705" t="s">
        <v>20</v>
      </c>
      <c r="B705" t="s">
        <v>1507</v>
      </c>
      <c r="C705" s="1">
        <v>46067</v>
      </c>
      <c r="D705" t="s">
        <v>1508</v>
      </c>
      <c r="E705" t="s">
        <v>23</v>
      </c>
      <c r="F705" t="s">
        <v>24</v>
      </c>
      <c r="G705">
        <v>32</v>
      </c>
      <c r="H705" t="s">
        <v>95</v>
      </c>
      <c r="I705" t="s">
        <v>26</v>
      </c>
      <c r="J705" t="s">
        <v>64</v>
      </c>
      <c r="K705" t="s">
        <v>58</v>
      </c>
      <c r="L705">
        <v>2</v>
      </c>
      <c r="M705">
        <v>126000</v>
      </c>
      <c r="N705">
        <v>7</v>
      </c>
      <c r="O705">
        <v>234360</v>
      </c>
      <c r="P705">
        <v>31660.65</v>
      </c>
      <c r="Q705" t="s">
        <v>37</v>
      </c>
      <c r="R705" t="s">
        <v>60</v>
      </c>
      <c r="S705" t="s">
        <v>87</v>
      </c>
      <c r="T705" t="s">
        <v>32</v>
      </c>
    </row>
    <row r="706" spans="1:20" x14ac:dyDescent="0.25">
      <c r="A706" t="s">
        <v>20</v>
      </c>
      <c r="B706" t="s">
        <v>1509</v>
      </c>
      <c r="C706" s="1">
        <v>46129</v>
      </c>
      <c r="D706" t="s">
        <v>1510</v>
      </c>
      <c r="E706" t="s">
        <v>72</v>
      </c>
      <c r="F706" t="s">
        <v>55</v>
      </c>
      <c r="G706">
        <v>31</v>
      </c>
      <c r="H706" t="s">
        <v>85</v>
      </c>
      <c r="I706" t="s">
        <v>26</v>
      </c>
      <c r="J706" t="s">
        <v>45</v>
      </c>
      <c r="K706" t="s">
        <v>58</v>
      </c>
      <c r="L706">
        <v>2</v>
      </c>
      <c r="M706">
        <v>100000</v>
      </c>
      <c r="N706">
        <v>0</v>
      </c>
      <c r="O706">
        <v>200000</v>
      </c>
      <c r="P706">
        <v>38226.5</v>
      </c>
      <c r="Q706" t="s">
        <v>105</v>
      </c>
      <c r="R706" t="s">
        <v>60</v>
      </c>
      <c r="S706" t="s">
        <v>39</v>
      </c>
      <c r="T706" t="s">
        <v>32</v>
      </c>
    </row>
    <row r="707" spans="1:20" x14ac:dyDescent="0.25">
      <c r="A707" t="s">
        <v>20</v>
      </c>
      <c r="B707" t="s">
        <v>1511</v>
      </c>
      <c r="C707" s="1">
        <v>46099</v>
      </c>
      <c r="D707" t="s">
        <v>1512</v>
      </c>
      <c r="E707" t="s">
        <v>43</v>
      </c>
      <c r="F707" t="s">
        <v>55</v>
      </c>
      <c r="G707">
        <v>52</v>
      </c>
      <c r="H707" t="s">
        <v>108</v>
      </c>
      <c r="I707" t="s">
        <v>26</v>
      </c>
      <c r="J707" t="s">
        <v>36</v>
      </c>
      <c r="K707" t="s">
        <v>58</v>
      </c>
      <c r="L707">
        <v>1</v>
      </c>
      <c r="M707">
        <v>114000</v>
      </c>
      <c r="N707">
        <v>2</v>
      </c>
      <c r="O707">
        <v>111720</v>
      </c>
      <c r="P707">
        <v>17370.02</v>
      </c>
      <c r="Q707" t="s">
        <v>74</v>
      </c>
      <c r="R707" t="s">
        <v>60</v>
      </c>
      <c r="S707" t="s">
        <v>69</v>
      </c>
      <c r="T707" t="s">
        <v>32</v>
      </c>
    </row>
    <row r="708" spans="1:20" x14ac:dyDescent="0.25">
      <c r="A708" t="s">
        <v>20</v>
      </c>
      <c r="B708" t="s">
        <v>1513</v>
      </c>
      <c r="C708" s="1">
        <v>45940</v>
      </c>
      <c r="D708" t="s">
        <v>1514</v>
      </c>
      <c r="E708" t="s">
        <v>35</v>
      </c>
      <c r="F708" t="s">
        <v>24</v>
      </c>
      <c r="G708">
        <v>53</v>
      </c>
      <c r="H708" t="s">
        <v>95</v>
      </c>
      <c r="I708" t="s">
        <v>26</v>
      </c>
      <c r="J708" t="s">
        <v>77</v>
      </c>
      <c r="K708" t="s">
        <v>28</v>
      </c>
      <c r="L708">
        <v>1</v>
      </c>
      <c r="M708">
        <v>194000</v>
      </c>
      <c r="N708">
        <v>5</v>
      </c>
      <c r="O708">
        <v>184300</v>
      </c>
      <c r="P708">
        <v>28867.7</v>
      </c>
      <c r="Q708" t="s">
        <v>105</v>
      </c>
      <c r="R708" t="s">
        <v>96</v>
      </c>
      <c r="S708" t="s">
        <v>69</v>
      </c>
      <c r="T708" t="s">
        <v>32</v>
      </c>
    </row>
    <row r="709" spans="1:20" x14ac:dyDescent="0.25">
      <c r="A709" t="s">
        <v>20</v>
      </c>
      <c r="B709" t="s">
        <v>1515</v>
      </c>
      <c r="C709" s="1">
        <v>46202</v>
      </c>
      <c r="D709" t="s">
        <v>1516</v>
      </c>
      <c r="E709" t="s">
        <v>72</v>
      </c>
      <c r="F709" t="s">
        <v>55</v>
      </c>
      <c r="G709">
        <v>26</v>
      </c>
      <c r="H709" t="s">
        <v>210</v>
      </c>
      <c r="I709" t="s">
        <v>26</v>
      </c>
      <c r="J709" t="s">
        <v>27</v>
      </c>
      <c r="K709" t="s">
        <v>58</v>
      </c>
      <c r="L709">
        <v>2</v>
      </c>
      <c r="M709">
        <v>96000</v>
      </c>
      <c r="N709">
        <v>3</v>
      </c>
      <c r="O709">
        <v>186240</v>
      </c>
      <c r="P709">
        <v>30978.81</v>
      </c>
      <c r="Q709" t="s">
        <v>59</v>
      </c>
      <c r="R709" t="s">
        <v>38</v>
      </c>
      <c r="S709" t="s">
        <v>69</v>
      </c>
      <c r="T709" t="s">
        <v>32</v>
      </c>
    </row>
    <row r="710" spans="1:20" x14ac:dyDescent="0.25">
      <c r="A710" t="s">
        <v>20</v>
      </c>
      <c r="B710" t="s">
        <v>1517</v>
      </c>
      <c r="C710" s="1">
        <v>46268</v>
      </c>
      <c r="D710" t="s">
        <v>1518</v>
      </c>
      <c r="E710" t="s">
        <v>80</v>
      </c>
      <c r="F710" t="s">
        <v>55</v>
      </c>
      <c r="G710">
        <v>38</v>
      </c>
      <c r="H710" t="s">
        <v>85</v>
      </c>
      <c r="I710" t="s">
        <v>26</v>
      </c>
      <c r="J710" t="s">
        <v>104</v>
      </c>
      <c r="K710" t="s">
        <v>68</v>
      </c>
      <c r="L710">
        <v>1</v>
      </c>
      <c r="M710">
        <v>169000</v>
      </c>
      <c r="N710">
        <v>3</v>
      </c>
      <c r="O710">
        <v>163930</v>
      </c>
      <c r="P710">
        <v>19193.68</v>
      </c>
      <c r="Q710" t="s">
        <v>46</v>
      </c>
      <c r="R710" t="s">
        <v>60</v>
      </c>
      <c r="S710" t="s">
        <v>61</v>
      </c>
      <c r="T710" t="s">
        <v>32</v>
      </c>
    </row>
    <row r="711" spans="1:20" x14ac:dyDescent="0.25">
      <c r="A711" t="s">
        <v>20</v>
      </c>
      <c r="B711" t="s">
        <v>1519</v>
      </c>
      <c r="C711" s="1">
        <v>46124</v>
      </c>
      <c r="D711" t="s">
        <v>1520</v>
      </c>
      <c r="E711" t="s">
        <v>80</v>
      </c>
      <c r="F711" t="s">
        <v>24</v>
      </c>
      <c r="G711">
        <v>29</v>
      </c>
      <c r="H711" t="s">
        <v>56</v>
      </c>
      <c r="I711" t="s">
        <v>26</v>
      </c>
      <c r="J711" t="s">
        <v>45</v>
      </c>
      <c r="K711" t="s">
        <v>58</v>
      </c>
      <c r="L711">
        <v>1</v>
      </c>
      <c r="M711">
        <v>97000</v>
      </c>
      <c r="N711">
        <v>2</v>
      </c>
      <c r="O711">
        <v>95060</v>
      </c>
      <c r="P711">
        <v>15533.71</v>
      </c>
      <c r="Q711" t="s">
        <v>86</v>
      </c>
      <c r="R711" t="s">
        <v>30</v>
      </c>
      <c r="S711" t="s">
        <v>31</v>
      </c>
      <c r="T711" t="s">
        <v>40</v>
      </c>
    </row>
    <row r="712" spans="1:20" x14ac:dyDescent="0.25">
      <c r="A712" t="s">
        <v>20</v>
      </c>
      <c r="B712" t="s">
        <v>1521</v>
      </c>
      <c r="C712" s="1">
        <v>46143</v>
      </c>
      <c r="D712" t="s">
        <v>1522</v>
      </c>
      <c r="E712" t="s">
        <v>137</v>
      </c>
      <c r="F712" t="s">
        <v>55</v>
      </c>
      <c r="G712">
        <v>20</v>
      </c>
      <c r="H712" t="s">
        <v>73</v>
      </c>
      <c r="I712" t="s">
        <v>26</v>
      </c>
      <c r="J712" t="s">
        <v>27</v>
      </c>
      <c r="K712" t="s">
        <v>58</v>
      </c>
      <c r="L712">
        <v>1</v>
      </c>
      <c r="M712">
        <v>93000</v>
      </c>
      <c r="N712">
        <v>7</v>
      </c>
      <c r="O712">
        <v>86490</v>
      </c>
      <c r="P712">
        <v>10020.08</v>
      </c>
      <c r="Q712" t="s">
        <v>82</v>
      </c>
      <c r="R712" t="s">
        <v>30</v>
      </c>
      <c r="S712" t="s">
        <v>69</v>
      </c>
      <c r="T712" t="s">
        <v>40</v>
      </c>
    </row>
    <row r="713" spans="1:20" x14ac:dyDescent="0.25">
      <c r="A713" t="s">
        <v>20</v>
      </c>
      <c r="B713" t="s">
        <v>1523</v>
      </c>
      <c r="C713" s="1">
        <v>46001</v>
      </c>
      <c r="D713" t="s">
        <v>1524</v>
      </c>
      <c r="E713" t="s">
        <v>35</v>
      </c>
      <c r="F713" t="s">
        <v>24</v>
      </c>
      <c r="G713">
        <v>48</v>
      </c>
      <c r="H713" t="s">
        <v>73</v>
      </c>
      <c r="I713" t="s">
        <v>26</v>
      </c>
      <c r="J713" t="s">
        <v>111</v>
      </c>
      <c r="K713" t="s">
        <v>101</v>
      </c>
      <c r="L713">
        <v>1</v>
      </c>
      <c r="M713">
        <v>123000</v>
      </c>
      <c r="N713">
        <v>0</v>
      </c>
      <c r="O713">
        <v>123000</v>
      </c>
      <c r="P713">
        <v>22564.07</v>
      </c>
      <c r="Q713" t="s">
        <v>46</v>
      </c>
      <c r="R713" t="s">
        <v>60</v>
      </c>
      <c r="S713" t="s">
        <v>39</v>
      </c>
      <c r="T713" t="s">
        <v>40</v>
      </c>
    </row>
    <row r="714" spans="1:20" x14ac:dyDescent="0.25">
      <c r="A714" t="s">
        <v>20</v>
      </c>
      <c r="B714" t="s">
        <v>1525</v>
      </c>
      <c r="C714" s="1">
        <v>46268</v>
      </c>
      <c r="D714" t="s">
        <v>1526</v>
      </c>
      <c r="E714" t="s">
        <v>23</v>
      </c>
      <c r="F714" t="s">
        <v>24</v>
      </c>
      <c r="G714">
        <v>50</v>
      </c>
      <c r="H714" t="s">
        <v>56</v>
      </c>
      <c r="I714" t="s">
        <v>26</v>
      </c>
      <c r="J714" t="s">
        <v>118</v>
      </c>
      <c r="K714" t="s">
        <v>28</v>
      </c>
      <c r="L714">
        <v>1</v>
      </c>
      <c r="M714">
        <v>85000</v>
      </c>
      <c r="N714">
        <v>7</v>
      </c>
      <c r="O714">
        <v>79050</v>
      </c>
      <c r="P714">
        <v>4849.83</v>
      </c>
      <c r="Q714" t="s">
        <v>37</v>
      </c>
      <c r="R714" t="s">
        <v>38</v>
      </c>
      <c r="S714" t="s">
        <v>31</v>
      </c>
      <c r="T714" t="s">
        <v>32</v>
      </c>
    </row>
    <row r="715" spans="1:20" x14ac:dyDescent="0.25">
      <c r="A715" t="s">
        <v>20</v>
      </c>
      <c r="B715" t="s">
        <v>1527</v>
      </c>
      <c r="C715" s="1">
        <v>46099</v>
      </c>
      <c r="D715" t="s">
        <v>1528</v>
      </c>
      <c r="E715" t="s">
        <v>50</v>
      </c>
      <c r="F715" t="s">
        <v>55</v>
      </c>
      <c r="G715">
        <v>43</v>
      </c>
      <c r="H715" t="s">
        <v>85</v>
      </c>
      <c r="I715" t="s">
        <v>26</v>
      </c>
      <c r="J715" t="s">
        <v>64</v>
      </c>
      <c r="K715" t="s">
        <v>68</v>
      </c>
      <c r="L715">
        <v>1</v>
      </c>
      <c r="M715">
        <v>126000</v>
      </c>
      <c r="N715">
        <v>10</v>
      </c>
      <c r="O715">
        <v>113400</v>
      </c>
      <c r="P715">
        <v>4599.41</v>
      </c>
      <c r="Q715" t="s">
        <v>59</v>
      </c>
      <c r="R715" t="s">
        <v>30</v>
      </c>
      <c r="S715" t="s">
        <v>39</v>
      </c>
      <c r="T715" t="s">
        <v>40</v>
      </c>
    </row>
    <row r="716" spans="1:20" x14ac:dyDescent="0.25">
      <c r="A716" t="s">
        <v>20</v>
      </c>
      <c r="B716" t="s">
        <v>1529</v>
      </c>
      <c r="C716" s="1">
        <v>46058</v>
      </c>
      <c r="D716" t="s">
        <v>1530</v>
      </c>
      <c r="E716" t="s">
        <v>72</v>
      </c>
      <c r="F716" t="s">
        <v>24</v>
      </c>
      <c r="G716">
        <v>46</v>
      </c>
      <c r="H716" t="s">
        <v>73</v>
      </c>
      <c r="I716" t="s">
        <v>26</v>
      </c>
      <c r="J716" t="s">
        <v>36</v>
      </c>
      <c r="K716" t="s">
        <v>68</v>
      </c>
      <c r="L716">
        <v>1</v>
      </c>
      <c r="M716">
        <v>117000</v>
      </c>
      <c r="N716">
        <v>0</v>
      </c>
      <c r="O716">
        <v>113490</v>
      </c>
      <c r="P716">
        <v>9762.5499999999993</v>
      </c>
      <c r="Q716" t="s">
        <v>105</v>
      </c>
      <c r="R716" t="s">
        <v>60</v>
      </c>
      <c r="S716" t="s">
        <v>87</v>
      </c>
      <c r="T716" t="s">
        <v>32</v>
      </c>
    </row>
    <row r="717" spans="1:20" x14ac:dyDescent="0.25">
      <c r="A717" t="s">
        <v>20</v>
      </c>
      <c r="B717" t="s">
        <v>1531</v>
      </c>
      <c r="C717" s="1">
        <v>45666</v>
      </c>
      <c r="D717" t="s">
        <v>1532</v>
      </c>
      <c r="E717" t="s">
        <v>129</v>
      </c>
      <c r="F717" t="s">
        <v>24</v>
      </c>
      <c r="G717">
        <v>51</v>
      </c>
      <c r="H717" t="s">
        <v>85</v>
      </c>
      <c r="I717" t="s">
        <v>26</v>
      </c>
      <c r="J717" t="s">
        <v>77</v>
      </c>
      <c r="K717" t="s">
        <v>68</v>
      </c>
      <c r="L717">
        <v>1</v>
      </c>
      <c r="M717">
        <v>195000</v>
      </c>
      <c r="N717">
        <v>3</v>
      </c>
      <c r="O717">
        <v>189150</v>
      </c>
      <c r="P717">
        <v>34471.54</v>
      </c>
      <c r="Q717" t="s">
        <v>74</v>
      </c>
      <c r="R717" t="s">
        <v>96</v>
      </c>
      <c r="S717" t="s">
        <v>39</v>
      </c>
      <c r="T717" t="s">
        <v>40</v>
      </c>
    </row>
    <row r="718" spans="1:20" x14ac:dyDescent="0.25">
      <c r="A718" t="s">
        <v>20</v>
      </c>
      <c r="B718" t="s">
        <v>1533</v>
      </c>
      <c r="C718" s="1">
        <v>45947</v>
      </c>
      <c r="D718" t="s">
        <v>1534</v>
      </c>
      <c r="E718" t="s">
        <v>80</v>
      </c>
      <c r="F718" t="s">
        <v>24</v>
      </c>
      <c r="G718">
        <v>27</v>
      </c>
      <c r="H718" t="s">
        <v>108</v>
      </c>
      <c r="I718" t="s">
        <v>26</v>
      </c>
      <c r="J718" t="s">
        <v>121</v>
      </c>
      <c r="K718" t="s">
        <v>101</v>
      </c>
      <c r="L718">
        <v>1</v>
      </c>
      <c r="M718">
        <v>168000</v>
      </c>
      <c r="N718">
        <v>5</v>
      </c>
      <c r="O718">
        <v>159600</v>
      </c>
      <c r="P718">
        <v>27734.39</v>
      </c>
      <c r="Q718" t="s">
        <v>105</v>
      </c>
      <c r="R718" t="s">
        <v>38</v>
      </c>
      <c r="S718" t="s">
        <v>39</v>
      </c>
      <c r="T718" t="s">
        <v>32</v>
      </c>
    </row>
    <row r="719" spans="1:20" x14ac:dyDescent="0.25">
      <c r="A719" t="s">
        <v>20</v>
      </c>
      <c r="B719" t="s">
        <v>1535</v>
      </c>
      <c r="C719" s="1">
        <v>46232</v>
      </c>
      <c r="D719" t="s">
        <v>1536</v>
      </c>
      <c r="E719" t="s">
        <v>23</v>
      </c>
      <c r="F719" t="s">
        <v>24</v>
      </c>
      <c r="G719">
        <v>29</v>
      </c>
      <c r="H719" t="s">
        <v>51</v>
      </c>
      <c r="I719" t="s">
        <v>26</v>
      </c>
      <c r="J719" t="s">
        <v>118</v>
      </c>
      <c r="K719" t="s">
        <v>68</v>
      </c>
      <c r="L719">
        <v>1</v>
      </c>
      <c r="M719">
        <v>85000</v>
      </c>
      <c r="N719">
        <v>7</v>
      </c>
      <c r="O719">
        <v>79050</v>
      </c>
      <c r="P719">
        <v>5963.67</v>
      </c>
      <c r="Q719" t="s">
        <v>52</v>
      </c>
      <c r="R719" t="s">
        <v>38</v>
      </c>
      <c r="S719" t="s">
        <v>87</v>
      </c>
      <c r="T719" t="s">
        <v>32</v>
      </c>
    </row>
    <row r="720" spans="1:20" x14ac:dyDescent="0.25">
      <c r="A720" t="s">
        <v>20</v>
      </c>
      <c r="B720" t="s">
        <v>1537</v>
      </c>
      <c r="C720" s="1">
        <v>46053</v>
      </c>
      <c r="D720" t="s">
        <v>1538</v>
      </c>
      <c r="E720" t="s">
        <v>94</v>
      </c>
      <c r="F720" t="s">
        <v>55</v>
      </c>
      <c r="G720">
        <v>47</v>
      </c>
      <c r="H720" t="s">
        <v>44</v>
      </c>
      <c r="I720" t="s">
        <v>26</v>
      </c>
      <c r="J720" t="s">
        <v>104</v>
      </c>
      <c r="K720" t="s">
        <v>101</v>
      </c>
      <c r="L720">
        <v>1</v>
      </c>
      <c r="M720">
        <v>170000</v>
      </c>
      <c r="N720">
        <v>2</v>
      </c>
      <c r="O720">
        <v>166600</v>
      </c>
      <c r="P720">
        <v>17441.13</v>
      </c>
      <c r="Q720" t="s">
        <v>105</v>
      </c>
      <c r="R720" t="s">
        <v>60</v>
      </c>
      <c r="S720" t="s">
        <v>31</v>
      </c>
      <c r="T720" t="s">
        <v>40</v>
      </c>
    </row>
    <row r="721" spans="1:20" x14ac:dyDescent="0.25">
      <c r="A721" t="s">
        <v>20</v>
      </c>
      <c r="B721" t="s">
        <v>1539</v>
      </c>
      <c r="C721" s="1">
        <v>46225</v>
      </c>
      <c r="D721" t="s">
        <v>1540</v>
      </c>
      <c r="E721" t="s">
        <v>72</v>
      </c>
      <c r="F721" t="s">
        <v>24</v>
      </c>
      <c r="G721">
        <v>32</v>
      </c>
      <c r="H721" t="s">
        <v>73</v>
      </c>
      <c r="I721" t="s">
        <v>26</v>
      </c>
      <c r="J721" t="s">
        <v>64</v>
      </c>
      <c r="K721" t="s">
        <v>28</v>
      </c>
      <c r="L721">
        <v>1</v>
      </c>
      <c r="M721">
        <v>124000</v>
      </c>
      <c r="N721">
        <v>3</v>
      </c>
      <c r="O721">
        <v>120280</v>
      </c>
      <c r="P721">
        <v>21540.92</v>
      </c>
      <c r="Q721" t="s">
        <v>74</v>
      </c>
      <c r="R721" t="s">
        <v>38</v>
      </c>
      <c r="S721" t="s">
        <v>87</v>
      </c>
      <c r="T721" t="s">
        <v>32</v>
      </c>
    </row>
    <row r="722" spans="1:20" x14ac:dyDescent="0.25">
      <c r="A722" t="s">
        <v>20</v>
      </c>
      <c r="B722" t="s">
        <v>466</v>
      </c>
      <c r="C722" s="1">
        <v>45827</v>
      </c>
      <c r="D722" t="s">
        <v>467</v>
      </c>
      <c r="E722" t="s">
        <v>94</v>
      </c>
      <c r="F722" t="s">
        <v>24</v>
      </c>
      <c r="G722">
        <v>23</v>
      </c>
      <c r="H722" t="s">
        <v>51</v>
      </c>
      <c r="I722" t="s">
        <v>26</v>
      </c>
      <c r="J722" t="s">
        <v>45</v>
      </c>
      <c r="K722" t="s">
        <v>68</v>
      </c>
      <c r="L722">
        <v>1</v>
      </c>
      <c r="M722">
        <v>98000</v>
      </c>
      <c r="N722">
        <v>3</v>
      </c>
      <c r="O722">
        <v>95060</v>
      </c>
      <c r="P722">
        <v>17650.73</v>
      </c>
      <c r="Q722" t="s">
        <v>59</v>
      </c>
      <c r="R722" t="s">
        <v>30</v>
      </c>
      <c r="S722" t="s">
        <v>61</v>
      </c>
      <c r="T722" t="s">
        <v>32</v>
      </c>
    </row>
    <row r="723" spans="1:20" x14ac:dyDescent="0.25">
      <c r="A723" t="s">
        <v>20</v>
      </c>
      <c r="B723" t="s">
        <v>1092</v>
      </c>
      <c r="C723" s="1">
        <v>45685</v>
      </c>
      <c r="D723" t="s">
        <v>1093</v>
      </c>
      <c r="E723" t="s">
        <v>35</v>
      </c>
      <c r="F723" t="s">
        <v>55</v>
      </c>
      <c r="G723">
        <v>33</v>
      </c>
      <c r="H723" t="s">
        <v>44</v>
      </c>
      <c r="I723" t="s">
        <v>26</v>
      </c>
      <c r="J723" t="s">
        <v>118</v>
      </c>
      <c r="K723" t="s">
        <v>68</v>
      </c>
      <c r="L723">
        <v>1</v>
      </c>
      <c r="M723">
        <v>83000</v>
      </c>
      <c r="N723">
        <v>10</v>
      </c>
      <c r="O723">
        <v>74700</v>
      </c>
      <c r="P723">
        <v>293.62</v>
      </c>
      <c r="Q723" t="s">
        <v>105</v>
      </c>
      <c r="R723" t="s">
        <v>96</v>
      </c>
      <c r="S723" t="s">
        <v>69</v>
      </c>
      <c r="T723" t="s">
        <v>40</v>
      </c>
    </row>
    <row r="724" spans="1:20" x14ac:dyDescent="0.25">
      <c r="A724" t="s">
        <v>20</v>
      </c>
      <c r="B724" t="s">
        <v>736</v>
      </c>
      <c r="C724" s="1">
        <v>45936</v>
      </c>
      <c r="D724" t="s">
        <v>737</v>
      </c>
      <c r="E724" t="s">
        <v>738</v>
      </c>
      <c r="F724" t="s">
        <v>24</v>
      </c>
      <c r="G724">
        <v>38</v>
      </c>
      <c r="H724" t="s">
        <v>44</v>
      </c>
      <c r="I724" t="s">
        <v>26</v>
      </c>
      <c r="J724" t="s">
        <v>77</v>
      </c>
      <c r="K724" t="s">
        <v>68</v>
      </c>
      <c r="L724">
        <v>1</v>
      </c>
      <c r="M724">
        <v>195000</v>
      </c>
      <c r="N724">
        <v>10</v>
      </c>
      <c r="O724">
        <v>175500</v>
      </c>
      <c r="P724">
        <v>17794.25</v>
      </c>
      <c r="Q724" t="s">
        <v>82</v>
      </c>
      <c r="R724" t="s">
        <v>96</v>
      </c>
      <c r="S724" t="s">
        <v>31</v>
      </c>
      <c r="T724" t="s">
        <v>40</v>
      </c>
    </row>
    <row r="725" spans="1:20" x14ac:dyDescent="0.25">
      <c r="A725" t="s">
        <v>20</v>
      </c>
      <c r="B725" t="s">
        <v>821</v>
      </c>
      <c r="C725" s="1">
        <v>45809</v>
      </c>
      <c r="D725" t="s">
        <v>822</v>
      </c>
      <c r="E725" t="s">
        <v>823</v>
      </c>
      <c r="F725" t="s">
        <v>55</v>
      </c>
      <c r="G725">
        <v>23</v>
      </c>
      <c r="H725" t="s">
        <v>51</v>
      </c>
      <c r="I725" t="s">
        <v>26</v>
      </c>
      <c r="J725" t="s">
        <v>111</v>
      </c>
      <c r="K725" t="s">
        <v>68</v>
      </c>
      <c r="L725">
        <v>1</v>
      </c>
      <c r="M725">
        <v>126000</v>
      </c>
      <c r="N725">
        <v>2</v>
      </c>
      <c r="O725">
        <v>123480</v>
      </c>
      <c r="P725">
        <v>24460.35</v>
      </c>
      <c r="Q725" t="s">
        <v>105</v>
      </c>
      <c r="R725" t="s">
        <v>60</v>
      </c>
      <c r="S725" t="s">
        <v>39</v>
      </c>
      <c r="T725" t="s">
        <v>32</v>
      </c>
    </row>
    <row r="726" spans="1:20" x14ac:dyDescent="0.25">
      <c r="A726" t="s">
        <v>20</v>
      </c>
      <c r="B726" t="s">
        <v>1318</v>
      </c>
      <c r="C726" s="1">
        <v>45869</v>
      </c>
      <c r="D726" t="s">
        <v>1319</v>
      </c>
      <c r="E726" t="s">
        <v>23</v>
      </c>
      <c r="F726" t="s">
        <v>24</v>
      </c>
      <c r="G726">
        <v>30</v>
      </c>
      <c r="H726" t="s">
        <v>85</v>
      </c>
      <c r="I726" t="s">
        <v>26</v>
      </c>
      <c r="J726" t="s">
        <v>118</v>
      </c>
      <c r="K726" t="s">
        <v>28</v>
      </c>
      <c r="L726">
        <v>1</v>
      </c>
      <c r="M726">
        <v>83000</v>
      </c>
      <c r="N726">
        <v>0</v>
      </c>
      <c r="O726">
        <v>83000</v>
      </c>
      <c r="P726">
        <v>16976.990000000002</v>
      </c>
      <c r="Q726" t="s">
        <v>82</v>
      </c>
      <c r="R726" t="s">
        <v>30</v>
      </c>
      <c r="S726" t="s">
        <v>87</v>
      </c>
      <c r="T726" t="s">
        <v>40</v>
      </c>
    </row>
    <row r="727" spans="1:20" x14ac:dyDescent="0.25">
      <c r="A727" t="s">
        <v>20</v>
      </c>
      <c r="B727" t="s">
        <v>1302</v>
      </c>
      <c r="C727" s="1">
        <v>45841</v>
      </c>
      <c r="D727" t="s">
        <v>1303</v>
      </c>
      <c r="E727" t="s">
        <v>94</v>
      </c>
      <c r="F727" t="s">
        <v>24</v>
      </c>
      <c r="G727">
        <v>51</v>
      </c>
      <c r="H727" t="s">
        <v>44</v>
      </c>
      <c r="I727" t="s">
        <v>26</v>
      </c>
      <c r="J727" t="s">
        <v>45</v>
      </c>
      <c r="K727" t="s">
        <v>68</v>
      </c>
      <c r="L727">
        <v>1</v>
      </c>
      <c r="M727">
        <v>97000</v>
      </c>
      <c r="N727">
        <v>10</v>
      </c>
      <c r="O727">
        <v>87300</v>
      </c>
      <c r="P727">
        <v>3076.15</v>
      </c>
      <c r="Q727" t="s">
        <v>105</v>
      </c>
      <c r="R727" t="s">
        <v>38</v>
      </c>
      <c r="S727" t="s">
        <v>39</v>
      </c>
      <c r="T727" t="s">
        <v>40</v>
      </c>
    </row>
    <row r="728" spans="1:20" x14ac:dyDescent="0.25">
      <c r="A728" t="s">
        <v>20</v>
      </c>
      <c r="B728" t="s">
        <v>1418</v>
      </c>
      <c r="C728" s="1">
        <v>46001</v>
      </c>
      <c r="D728" t="s">
        <v>1419</v>
      </c>
      <c r="E728" t="s">
        <v>50</v>
      </c>
      <c r="F728" t="s">
        <v>24</v>
      </c>
      <c r="G728">
        <v>21</v>
      </c>
      <c r="H728" t="s">
        <v>44</v>
      </c>
      <c r="I728" t="s">
        <v>26</v>
      </c>
      <c r="J728" t="s">
        <v>77</v>
      </c>
      <c r="K728" t="s">
        <v>68</v>
      </c>
      <c r="L728">
        <v>1</v>
      </c>
      <c r="M728">
        <v>193000</v>
      </c>
      <c r="N728">
        <v>0</v>
      </c>
      <c r="O728">
        <v>193000</v>
      </c>
      <c r="P728">
        <v>34059.83</v>
      </c>
      <c r="Q728" t="s">
        <v>82</v>
      </c>
      <c r="R728" t="s">
        <v>30</v>
      </c>
      <c r="S728" t="s">
        <v>31</v>
      </c>
      <c r="T728" t="s">
        <v>32</v>
      </c>
    </row>
    <row r="729" spans="1:20" x14ac:dyDescent="0.25">
      <c r="A729" t="s">
        <v>20</v>
      </c>
      <c r="B729" t="s">
        <v>613</v>
      </c>
      <c r="C729" s="1">
        <v>46040</v>
      </c>
      <c r="D729" t="s">
        <v>614</v>
      </c>
      <c r="E729" t="s">
        <v>80</v>
      </c>
      <c r="F729" t="s">
        <v>55</v>
      </c>
      <c r="G729">
        <v>26</v>
      </c>
      <c r="H729" t="s">
        <v>25</v>
      </c>
      <c r="I729" t="s">
        <v>26</v>
      </c>
      <c r="J729" t="s">
        <v>111</v>
      </c>
      <c r="K729" t="s">
        <v>58</v>
      </c>
      <c r="L729">
        <v>1</v>
      </c>
      <c r="M729">
        <v>127000</v>
      </c>
      <c r="N729">
        <v>3</v>
      </c>
      <c r="O729">
        <v>123190</v>
      </c>
      <c r="P729">
        <v>15783.2</v>
      </c>
      <c r="Q729" t="s">
        <v>37</v>
      </c>
      <c r="R729" t="s">
        <v>38</v>
      </c>
      <c r="S729" t="s">
        <v>69</v>
      </c>
      <c r="T729" t="s">
        <v>40</v>
      </c>
    </row>
    <row r="730" spans="1:20" x14ac:dyDescent="0.25">
      <c r="A730" t="s">
        <v>20</v>
      </c>
      <c r="B730" t="s">
        <v>1222</v>
      </c>
      <c r="C730" s="1">
        <v>46147</v>
      </c>
      <c r="D730" t="s">
        <v>1223</v>
      </c>
      <c r="E730" t="s">
        <v>94</v>
      </c>
      <c r="F730" t="s">
        <v>55</v>
      </c>
      <c r="G730">
        <v>24</v>
      </c>
      <c r="H730" t="s">
        <v>95</v>
      </c>
      <c r="I730" t="s">
        <v>26</v>
      </c>
      <c r="J730" t="s">
        <v>77</v>
      </c>
      <c r="K730" t="s">
        <v>68</v>
      </c>
      <c r="L730">
        <v>1</v>
      </c>
      <c r="M730">
        <v>193000</v>
      </c>
      <c r="N730">
        <v>2</v>
      </c>
      <c r="O730">
        <v>189140</v>
      </c>
      <c r="P730">
        <v>26175.75</v>
      </c>
      <c r="Q730" t="s">
        <v>52</v>
      </c>
      <c r="R730" t="s">
        <v>60</v>
      </c>
      <c r="S730" t="s">
        <v>47</v>
      </c>
      <c r="T730" t="s">
        <v>40</v>
      </c>
    </row>
    <row r="731" spans="1:20" x14ac:dyDescent="0.25">
      <c r="A731" t="s">
        <v>20</v>
      </c>
      <c r="B731" t="s">
        <v>536</v>
      </c>
      <c r="C731" s="1">
        <v>45852</v>
      </c>
      <c r="D731" t="s">
        <v>537</v>
      </c>
      <c r="E731" t="s">
        <v>72</v>
      </c>
      <c r="F731" t="s">
        <v>24</v>
      </c>
      <c r="G731">
        <v>46</v>
      </c>
      <c r="H731" t="s">
        <v>95</v>
      </c>
      <c r="I731" t="s">
        <v>26</v>
      </c>
      <c r="J731" t="s">
        <v>81</v>
      </c>
      <c r="K731" t="s">
        <v>101</v>
      </c>
      <c r="L731">
        <v>1</v>
      </c>
      <c r="M731">
        <v>233000</v>
      </c>
      <c r="N731">
        <v>3</v>
      </c>
      <c r="O731">
        <v>226010</v>
      </c>
      <c r="P731">
        <v>38522.81</v>
      </c>
      <c r="Q731" t="s">
        <v>52</v>
      </c>
      <c r="R731" t="s">
        <v>30</v>
      </c>
      <c r="S731" t="s">
        <v>69</v>
      </c>
      <c r="T731" t="s">
        <v>40</v>
      </c>
    </row>
    <row r="732" spans="1:20" x14ac:dyDescent="0.25">
      <c r="A732" t="s">
        <v>20</v>
      </c>
      <c r="B732" t="s">
        <v>307</v>
      </c>
      <c r="C732" s="1">
        <v>46073</v>
      </c>
      <c r="D732" t="s">
        <v>308</v>
      </c>
      <c r="E732" t="s">
        <v>129</v>
      </c>
      <c r="F732" t="s">
        <v>55</v>
      </c>
      <c r="G732">
        <v>43</v>
      </c>
      <c r="H732" t="s">
        <v>191</v>
      </c>
      <c r="I732" t="s">
        <v>26</v>
      </c>
      <c r="J732" t="s">
        <v>81</v>
      </c>
      <c r="K732" t="s">
        <v>68</v>
      </c>
      <c r="L732">
        <v>1</v>
      </c>
      <c r="M732">
        <v>233000</v>
      </c>
      <c r="N732">
        <v>0</v>
      </c>
      <c r="O732">
        <v>233000</v>
      </c>
      <c r="P732">
        <v>32493.7</v>
      </c>
      <c r="Q732" t="s">
        <v>46</v>
      </c>
      <c r="R732" t="s">
        <v>30</v>
      </c>
      <c r="S732" t="s">
        <v>31</v>
      </c>
      <c r="T732" t="s">
        <v>32</v>
      </c>
    </row>
    <row r="733" spans="1:20" x14ac:dyDescent="0.25">
      <c r="A733" t="s">
        <v>20</v>
      </c>
      <c r="B733" t="s">
        <v>198</v>
      </c>
      <c r="C733" s="1">
        <v>45729</v>
      </c>
      <c r="D733" t="s">
        <v>199</v>
      </c>
      <c r="E733" t="s">
        <v>94</v>
      </c>
      <c r="F733" t="s">
        <v>24</v>
      </c>
      <c r="G733">
        <v>37</v>
      </c>
      <c r="H733" t="s">
        <v>44</v>
      </c>
      <c r="I733" t="s">
        <v>26</v>
      </c>
      <c r="J733" t="s">
        <v>77</v>
      </c>
      <c r="K733" t="s">
        <v>101</v>
      </c>
      <c r="L733">
        <v>2</v>
      </c>
      <c r="M733">
        <v>196000</v>
      </c>
      <c r="N733">
        <v>10</v>
      </c>
      <c r="O733">
        <v>352800</v>
      </c>
      <c r="P733">
        <v>5676.49</v>
      </c>
      <c r="Q733" t="s">
        <v>105</v>
      </c>
      <c r="R733" t="s">
        <v>60</v>
      </c>
      <c r="S733" t="s">
        <v>61</v>
      </c>
      <c r="T733"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1B28-7730-494D-9325-25EA61349212}">
  <dimension ref="A1"/>
  <sheetViews>
    <sheetView tabSelected="1" topLeftCell="A2" zoomScale="46" zoomScaleNormal="55" workbookViewId="0">
      <selection activeCell="AJ39" sqref="AJ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E5E647-B266-4F6C-AB98-A44C8D77EE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Ridezone_Raw_Data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S0239067</dc:creator>
  <cp:lastModifiedBy>Salamon Josva G.V</cp:lastModifiedBy>
  <dcterms:created xsi:type="dcterms:W3CDTF">2026-09-23T04:28:46Z</dcterms:created>
  <dcterms:modified xsi:type="dcterms:W3CDTF">2026-09-24T07:22:24Z</dcterms:modified>
</cp:coreProperties>
</file>